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Household Monthly Budget" sheetId="1" r:id="rId4"/>
    <sheet state="visible" name="Instructions" sheetId="2" r:id="rId5"/>
  </sheets>
  <definedNames/>
  <calcPr/>
  <extLst>
    <ext uri="GoogleSheetsCustomDataVersion1">
      <go:sheetsCustomData xmlns:go="http://customooxmlschemas.google.com/" r:id="rId6" roundtripDataSignature="AMtx7mj5o5HoIsb2WMnSs5EjLeUWxxAHCw=="/>
    </ext>
  </extLst>
</workbook>
</file>

<file path=xl/sharedStrings.xml><?xml version="1.0" encoding="utf-8"?>
<sst xmlns="http://schemas.openxmlformats.org/spreadsheetml/2006/main" count="84" uniqueCount="62">
  <si>
    <t>HOUSEHOLD MONTHLY BUDGET</t>
  </si>
  <si>
    <t>Name:</t>
  </si>
  <si>
    <t>Budgeted Month:</t>
  </si>
  <si>
    <t>Address:</t>
  </si>
  <si>
    <t>Date:</t>
  </si>
  <si>
    <t xml:space="preserve">Income </t>
  </si>
  <si>
    <t>Income List</t>
  </si>
  <si>
    <t>Budget</t>
  </si>
  <si>
    <t xml:space="preserve">Actual </t>
  </si>
  <si>
    <t>Variance</t>
  </si>
  <si>
    <t>Salaries/Wages</t>
  </si>
  <si>
    <t>Spouse Salary</t>
  </si>
  <si>
    <t xml:space="preserve">Part time </t>
  </si>
  <si>
    <t>Bonus</t>
  </si>
  <si>
    <t>Extra Income</t>
  </si>
  <si>
    <t>Others</t>
  </si>
  <si>
    <t>Total Income</t>
  </si>
  <si>
    <t>Expenses</t>
  </si>
  <si>
    <t>Shopping</t>
  </si>
  <si>
    <t>Groceries</t>
  </si>
  <si>
    <t>Dinning Out/restaurant</t>
  </si>
  <si>
    <t>Online Shopping</t>
  </si>
  <si>
    <t>Clothes</t>
  </si>
  <si>
    <t>Food Materials</t>
  </si>
  <si>
    <t xml:space="preserve">Sub Total </t>
  </si>
  <si>
    <t>Home Expense</t>
  </si>
  <si>
    <t>Actual</t>
  </si>
  <si>
    <t>House Rent &amp; Maintenance</t>
  </si>
  <si>
    <t>Car Parking</t>
  </si>
  <si>
    <t>Laundry</t>
  </si>
  <si>
    <t>Drinking Water</t>
  </si>
  <si>
    <t xml:space="preserve">Gas/Electricity </t>
  </si>
  <si>
    <t>Taxes</t>
  </si>
  <si>
    <t>Entertainment</t>
  </si>
  <si>
    <t>Movies</t>
  </si>
  <si>
    <t>Vacation/Holidays</t>
  </si>
  <si>
    <t>Online Web Series</t>
  </si>
  <si>
    <t>Sub Total</t>
  </si>
  <si>
    <t>Loan</t>
  </si>
  <si>
    <t>Credit Cards</t>
  </si>
  <si>
    <t>Personal Loan</t>
  </si>
  <si>
    <t xml:space="preserve">Home Loan </t>
  </si>
  <si>
    <t xml:space="preserve">Vehicle Loan </t>
  </si>
  <si>
    <t>Insurance</t>
  </si>
  <si>
    <t xml:space="preserve">Health </t>
  </si>
  <si>
    <t xml:space="preserve">Vehicle </t>
  </si>
  <si>
    <t xml:space="preserve">Home </t>
  </si>
  <si>
    <t xml:space="preserve">Life </t>
  </si>
  <si>
    <t>Premium</t>
  </si>
  <si>
    <t>Gold</t>
  </si>
  <si>
    <t>Child Expense</t>
  </si>
  <si>
    <t>Tution Fee</t>
  </si>
  <si>
    <t>Medical /Hospitality</t>
  </si>
  <si>
    <t>Books/Toys</t>
  </si>
  <si>
    <t>Clothes/Uniforms</t>
  </si>
  <si>
    <t>Shoes</t>
  </si>
  <si>
    <t>Project Fee</t>
  </si>
  <si>
    <t>The following are instructions on how to use the template.</t>
  </si>
  <si>
    <t>1. Edit or add content like inserting rows and columns to the template.</t>
  </si>
  <si>
    <t>2. There are no locked-up cells for easier editing of cell names.</t>
  </si>
  <si>
    <t>3. Feel free to change any formula available.</t>
  </si>
  <si>
    <t>Should you need assistance, please contact our Customer Support Team using the chat box found on the website.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</si>
</sst>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0">
    <font>
      <sz val="11.0"/>
      <color rgb="FF000000"/>
      <name val="Calibri"/>
      <scheme val="minor"/>
    </font>
    <font>
      <b/>
      <sz val="24.0"/>
      <color rgb="FFFFFFFF"/>
      <name val="Calibri"/>
    </font>
    <font>
      <color theme="1"/>
      <name val="Calibri"/>
      <scheme val="minor"/>
    </font>
    <font/>
    <font>
      <sz val="11.0"/>
      <color rgb="FF3A3838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2.0"/>
      <color rgb="FF3A3838"/>
      <name val="Calibri"/>
    </font>
    <font>
      <b/>
      <sz val="11.0"/>
      <color rgb="FF3A3838"/>
      <name val="Calibri"/>
    </font>
    <font>
      <b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</border>
    <border>
      <bottom style="thin">
        <color rgb="FFA5A5A5"/>
      </bottom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left style="thin">
        <color rgb="FFA5A5A5"/>
      </left>
      <right/>
      <top/>
      <bottom/>
    </border>
    <border>
      <left/>
      <right style="thin">
        <color rgb="FFA5A5A5"/>
      </right>
      <top/>
      <bottom/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2" numFmtId="0" xfId="0" applyBorder="1" applyFont="1"/>
    <xf borderId="4" fillId="0" fontId="2" numFmtId="0" xfId="0" applyBorder="1" applyFont="1"/>
    <xf borderId="0" fillId="0" fontId="4" numFmtId="0" xfId="0" applyAlignment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5" numFmtId="0" xfId="0" applyFont="1"/>
    <xf borderId="4" fillId="0" fontId="5" numFmtId="0" xfId="0" applyBorder="1" applyFont="1"/>
    <xf borderId="9" fillId="0" fontId="5" numFmtId="0" xfId="0" applyBorder="1" applyFont="1"/>
    <xf borderId="0" fillId="0" fontId="6" numFmtId="0" xfId="0" applyAlignment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0" fillId="0" fontId="7" numFmtId="0" xfId="0" applyAlignment="1" applyFont="1">
      <alignment horizontal="left" vertical="center"/>
    </xf>
    <xf borderId="4" fillId="0" fontId="7" numFmtId="0" xfId="0" applyAlignment="1" applyBorder="1" applyFont="1">
      <alignment horizontal="left" vertical="center"/>
    </xf>
    <xf borderId="13" fillId="3" fontId="7" numFmtId="0" xfId="0" applyAlignment="1" applyBorder="1" applyFill="1" applyFont="1">
      <alignment horizontal="left" vertical="center"/>
    </xf>
    <xf borderId="14" fillId="4" fontId="7" numFmtId="0" xfId="0" applyAlignment="1" applyBorder="1" applyFill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6" fillId="3" fontId="4" numFmtId="164" xfId="0" applyAlignment="1" applyBorder="1" applyFont="1" applyNumberFormat="1">
      <alignment horizontal="left" vertical="center"/>
    </xf>
    <xf borderId="0" fillId="0" fontId="4" numFmtId="164" xfId="0" applyAlignment="1" applyFont="1" applyNumberFormat="1">
      <alignment horizontal="center" vertical="center"/>
    </xf>
    <xf borderId="17" fillId="4" fontId="4" numFmtId="164" xfId="0" applyAlignment="1" applyBorder="1" applyFont="1" applyNumberFormat="1">
      <alignment horizontal="center" vertical="center"/>
    </xf>
    <xf borderId="13" fillId="3" fontId="7" numFmtId="164" xfId="0" applyAlignment="1" applyBorder="1" applyFont="1" applyNumberFormat="1">
      <alignment horizontal="left" vertical="center"/>
    </xf>
    <xf borderId="14" fillId="4" fontId="7" numFmtId="164" xfId="0" applyAlignment="1" applyBorder="1" applyFont="1" applyNumberFormat="1">
      <alignment horizontal="center" vertical="center"/>
    </xf>
    <xf borderId="15" fillId="4" fontId="7" numFmtId="164" xfId="0" applyAlignment="1" applyBorder="1" applyFont="1" applyNumberFormat="1">
      <alignment horizontal="center" vertical="center"/>
    </xf>
    <xf borderId="0" fillId="0" fontId="2" numFmtId="164" xfId="0" applyFont="1" applyNumberFormat="1"/>
    <xf borderId="5" fillId="2" fontId="6" numFmtId="164" xfId="0" applyAlignment="1" applyBorder="1" applyFont="1" applyNumberFormat="1">
      <alignment horizontal="center" vertical="center"/>
    </xf>
    <xf borderId="18" fillId="3" fontId="7" numFmtId="164" xfId="0" applyAlignment="1" applyBorder="1" applyFont="1" applyNumberFormat="1">
      <alignment horizontal="left" vertical="center"/>
    </xf>
    <xf borderId="19" fillId="4" fontId="8" numFmtId="164" xfId="0" applyAlignment="1" applyBorder="1" applyFont="1" applyNumberFormat="1">
      <alignment horizontal="center" vertical="center"/>
    </xf>
    <xf borderId="20" fillId="4" fontId="8" numFmtId="164" xfId="0" applyAlignment="1" applyBorder="1" applyFont="1" applyNumberFormat="1">
      <alignment horizontal="center" vertical="center"/>
    </xf>
    <xf borderId="19" fillId="4" fontId="7" numFmtId="164" xfId="0" applyAlignment="1" applyBorder="1" applyFont="1" applyNumberFormat="1">
      <alignment horizontal="center" vertical="center"/>
    </xf>
    <xf borderId="20" fillId="4" fontId="7" numFmtId="164" xfId="0" applyAlignment="1" applyBorder="1" applyFont="1" applyNumberFormat="1">
      <alignment horizontal="center" vertical="center"/>
    </xf>
    <xf borderId="0" fillId="0" fontId="9" numFmtId="0" xfId="0" applyAlignment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18" fillId="3" fontId="9" numFmtId="164" xfId="0" applyAlignment="1" applyBorder="1" applyFont="1" applyNumberFormat="1">
      <alignment horizontal="left" vertical="center"/>
    </xf>
    <xf borderId="19" fillId="4" fontId="9" numFmtId="164" xfId="0" applyAlignment="1" applyBorder="1" applyFont="1" applyNumberFormat="1">
      <alignment horizontal="center" vertical="center"/>
    </xf>
    <xf borderId="20" fillId="4" fontId="9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16" fillId="3" fontId="5" numFmtId="164" xfId="0" applyAlignment="1" applyBorder="1" applyFont="1" applyNumberFormat="1">
      <alignment horizontal="left" vertical="center"/>
    </xf>
    <xf borderId="0" fillId="0" fontId="5" numFmtId="164" xfId="0" applyAlignment="1" applyFont="1" applyNumberFormat="1">
      <alignment horizontal="center" vertical="center"/>
    </xf>
    <xf borderId="17" fillId="4" fontId="5" numFmtId="164" xfId="0" applyAlignment="1" applyBorder="1" applyFont="1" applyNumberFormat="1">
      <alignment horizontal="center" vertical="center"/>
    </xf>
    <xf borderId="13" fillId="3" fontId="9" numFmtId="164" xfId="0" applyAlignment="1" applyBorder="1" applyFont="1" applyNumberFormat="1">
      <alignment horizontal="left" vertical="center"/>
    </xf>
    <xf borderId="14" fillId="4" fontId="9" numFmtId="164" xfId="0" applyAlignment="1" applyBorder="1" applyFont="1" applyNumberFormat="1">
      <alignment horizontal="center" vertical="center"/>
    </xf>
    <xf borderId="15" fillId="4" fontId="9" numFmtId="164" xfId="0" applyAlignment="1" applyBorder="1" applyFont="1" applyNumberForma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039225" cy="4124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71"/>
    <col customWidth="1" min="3" max="3" width="27.86"/>
    <col customWidth="1" min="4" max="6" width="24.43"/>
    <col customWidth="1" min="7" max="8" width="3.71"/>
  </cols>
  <sheetData>
    <row r="1" ht="15.0" customHeight="1">
      <c r="A1" s="1"/>
      <c r="B1" s="1"/>
      <c r="C1" s="1"/>
      <c r="D1" s="1"/>
      <c r="E1" s="1"/>
      <c r="F1" s="1"/>
    </row>
    <row r="2" ht="15.0" customHeight="1">
      <c r="A2" s="1"/>
      <c r="B2" s="2"/>
      <c r="C2" s="3"/>
      <c r="D2" s="3"/>
      <c r="E2" s="3"/>
      <c r="F2" s="3"/>
      <c r="G2" s="4"/>
    </row>
    <row r="3" ht="41.25" customHeight="1">
      <c r="A3" s="1"/>
      <c r="B3" s="5"/>
      <c r="C3" s="6" t="s">
        <v>0</v>
      </c>
      <c r="D3" s="7"/>
      <c r="E3" s="7"/>
      <c r="F3" s="8"/>
      <c r="G3" s="9"/>
    </row>
    <row r="4">
      <c r="B4" s="10"/>
      <c r="G4" s="9"/>
    </row>
    <row r="5" ht="24.75" customHeight="1">
      <c r="A5" s="11"/>
      <c r="B5" s="12"/>
      <c r="C5" s="11" t="s">
        <v>1</v>
      </c>
      <c r="G5" s="9"/>
    </row>
    <row r="6" ht="24.75" customHeight="1">
      <c r="A6" s="11"/>
      <c r="B6" s="12"/>
      <c r="C6" s="11" t="s">
        <v>2</v>
      </c>
      <c r="G6" s="9"/>
    </row>
    <row r="7" ht="24.75" customHeight="1">
      <c r="A7" s="11"/>
      <c r="B7" s="12"/>
      <c r="C7" s="11" t="s">
        <v>3</v>
      </c>
      <c r="G7" s="9"/>
    </row>
    <row r="8" ht="24.75" customHeight="1">
      <c r="A8" s="11"/>
      <c r="B8" s="12"/>
      <c r="C8" s="11" t="s">
        <v>4</v>
      </c>
      <c r="G8" s="9"/>
    </row>
    <row r="9" ht="26.25" customHeight="1">
      <c r="A9" s="13"/>
      <c r="B9" s="14"/>
      <c r="C9" s="15"/>
      <c r="D9" s="15"/>
      <c r="E9" s="15"/>
      <c r="F9" s="15"/>
      <c r="G9" s="9"/>
    </row>
    <row r="10" ht="30.0" customHeight="1">
      <c r="A10" s="16"/>
      <c r="B10" s="17"/>
      <c r="C10" s="18" t="s">
        <v>5</v>
      </c>
      <c r="D10" s="19"/>
      <c r="E10" s="19"/>
      <c r="F10" s="20"/>
      <c r="G10" s="9"/>
    </row>
    <row r="11" ht="24.75" customHeight="1">
      <c r="A11" s="21"/>
      <c r="B11" s="22"/>
      <c r="C11" s="23" t="s">
        <v>6</v>
      </c>
      <c r="D11" s="24" t="s">
        <v>7</v>
      </c>
      <c r="E11" s="24" t="s">
        <v>8</v>
      </c>
      <c r="F11" s="25" t="s">
        <v>9</v>
      </c>
      <c r="G11" s="9"/>
    </row>
    <row r="12" ht="24.75" customHeight="1">
      <c r="A12" s="11"/>
      <c r="B12" s="12"/>
      <c r="C12" s="26" t="s">
        <v>10</v>
      </c>
      <c r="D12" s="27">
        <v>3500.0</v>
      </c>
      <c r="E12" s="27">
        <v>3200.0</v>
      </c>
      <c r="F12" s="28">
        <f t="shared" ref="F12:F17" si="1">D12-E12</f>
        <v>300</v>
      </c>
      <c r="G12" s="9"/>
    </row>
    <row r="13" ht="24.75" customHeight="1">
      <c r="A13" s="11"/>
      <c r="B13" s="12"/>
      <c r="C13" s="26" t="s">
        <v>11</v>
      </c>
      <c r="D13" s="27">
        <v>4500.0</v>
      </c>
      <c r="E13" s="27">
        <v>4300.0</v>
      </c>
      <c r="F13" s="28">
        <f t="shared" si="1"/>
        <v>200</v>
      </c>
      <c r="G13" s="9"/>
    </row>
    <row r="14" ht="24.75" customHeight="1">
      <c r="A14" s="11"/>
      <c r="B14" s="12"/>
      <c r="C14" s="26" t="s">
        <v>12</v>
      </c>
      <c r="D14" s="27">
        <v>1500.0</v>
      </c>
      <c r="E14" s="27">
        <v>1450.0</v>
      </c>
      <c r="F14" s="28">
        <f t="shared" si="1"/>
        <v>50</v>
      </c>
      <c r="G14" s="9"/>
    </row>
    <row r="15" ht="24.75" customHeight="1">
      <c r="A15" s="11"/>
      <c r="B15" s="12"/>
      <c r="C15" s="26" t="s">
        <v>13</v>
      </c>
      <c r="D15" s="27">
        <v>7500.0</v>
      </c>
      <c r="E15" s="27">
        <v>7250.0</v>
      </c>
      <c r="F15" s="28">
        <f t="shared" si="1"/>
        <v>250</v>
      </c>
      <c r="G15" s="9"/>
    </row>
    <row r="16" ht="24.75" customHeight="1">
      <c r="A16" s="11"/>
      <c r="B16" s="12"/>
      <c r="C16" s="26" t="s">
        <v>14</v>
      </c>
      <c r="D16" s="27">
        <v>1500.0</v>
      </c>
      <c r="E16" s="27">
        <v>1520.0</v>
      </c>
      <c r="F16" s="28">
        <f t="shared" si="1"/>
        <v>-20</v>
      </c>
      <c r="G16" s="9"/>
    </row>
    <row r="17" ht="24.75" customHeight="1">
      <c r="A17" s="11"/>
      <c r="B17" s="12"/>
      <c r="C17" s="26" t="s">
        <v>15</v>
      </c>
      <c r="D17" s="27">
        <v>4500.0</v>
      </c>
      <c r="E17" s="27">
        <v>4450.0</v>
      </c>
      <c r="F17" s="28">
        <f t="shared" si="1"/>
        <v>50</v>
      </c>
      <c r="G17" s="9"/>
    </row>
    <row r="18" ht="24.75" customHeight="1">
      <c r="A18" s="21"/>
      <c r="B18" s="22"/>
      <c r="C18" s="29" t="s">
        <v>16</v>
      </c>
      <c r="D18" s="30">
        <f t="shared" ref="D18:F18" si="2">SUM(D12:D17)</f>
        <v>23000</v>
      </c>
      <c r="E18" s="30">
        <f t="shared" si="2"/>
        <v>22170</v>
      </c>
      <c r="F18" s="31">
        <f t="shared" si="2"/>
        <v>830</v>
      </c>
      <c r="G18" s="9"/>
    </row>
    <row r="19" ht="26.25" customHeight="1">
      <c r="B19" s="10"/>
      <c r="C19" s="32"/>
      <c r="D19" s="32"/>
      <c r="E19" s="32"/>
      <c r="F19" s="32"/>
      <c r="G19" s="9"/>
    </row>
    <row r="20" ht="30.0" customHeight="1">
      <c r="A20" s="16"/>
      <c r="B20" s="17"/>
      <c r="C20" s="33" t="s">
        <v>17</v>
      </c>
      <c r="D20" s="7"/>
      <c r="E20" s="7"/>
      <c r="F20" s="8"/>
      <c r="G20" s="9"/>
    </row>
    <row r="21" ht="24.75" customHeight="1">
      <c r="A21" s="21"/>
      <c r="B21" s="22"/>
      <c r="C21" s="34" t="s">
        <v>18</v>
      </c>
      <c r="D21" s="35" t="s">
        <v>7</v>
      </c>
      <c r="E21" s="35" t="s">
        <v>8</v>
      </c>
      <c r="F21" s="36" t="s">
        <v>9</v>
      </c>
      <c r="G21" s="9"/>
    </row>
    <row r="22" ht="24.75" customHeight="1">
      <c r="A22" s="11"/>
      <c r="B22" s="12"/>
      <c r="C22" s="26" t="s">
        <v>19</v>
      </c>
      <c r="D22" s="27">
        <v>500.0</v>
      </c>
      <c r="E22" s="27">
        <v>480.0</v>
      </c>
      <c r="F22" s="28">
        <f t="shared" ref="F22:F26" si="3">D22-E22</f>
        <v>20</v>
      </c>
      <c r="G22" s="9"/>
    </row>
    <row r="23" ht="24.75" customHeight="1">
      <c r="A23" s="11"/>
      <c r="B23" s="12"/>
      <c r="C23" s="26" t="s">
        <v>20</v>
      </c>
      <c r="D23" s="27">
        <v>150.0</v>
      </c>
      <c r="E23" s="27">
        <v>165.0</v>
      </c>
      <c r="F23" s="28">
        <f t="shared" si="3"/>
        <v>-15</v>
      </c>
      <c r="G23" s="9"/>
    </row>
    <row r="24" ht="24.75" customHeight="1">
      <c r="A24" s="11"/>
      <c r="B24" s="12"/>
      <c r="C24" s="26" t="s">
        <v>21</v>
      </c>
      <c r="D24" s="27">
        <v>300.0</v>
      </c>
      <c r="E24" s="27">
        <v>305.0</v>
      </c>
      <c r="F24" s="28">
        <f t="shared" si="3"/>
        <v>-5</v>
      </c>
      <c r="G24" s="9"/>
    </row>
    <row r="25" ht="24.75" customHeight="1">
      <c r="A25" s="11"/>
      <c r="B25" s="12"/>
      <c r="C25" s="26" t="s">
        <v>22</v>
      </c>
      <c r="D25" s="27">
        <v>500.0</v>
      </c>
      <c r="E25" s="27">
        <v>490.0</v>
      </c>
      <c r="F25" s="28">
        <f t="shared" si="3"/>
        <v>10</v>
      </c>
      <c r="G25" s="9"/>
    </row>
    <row r="26" ht="24.75" customHeight="1">
      <c r="A26" s="11"/>
      <c r="B26" s="12"/>
      <c r="C26" s="26" t="s">
        <v>23</v>
      </c>
      <c r="D26" s="27">
        <v>320.0</v>
      </c>
      <c r="E26" s="27">
        <v>3020.0</v>
      </c>
      <c r="F26" s="28">
        <f t="shared" si="3"/>
        <v>-2700</v>
      </c>
      <c r="G26" s="9"/>
    </row>
    <row r="27" ht="24.75" customHeight="1">
      <c r="A27" s="21"/>
      <c r="B27" s="22"/>
      <c r="C27" s="29" t="s">
        <v>24</v>
      </c>
      <c r="D27" s="30">
        <f t="shared" ref="D27:F27" si="4">SUM(D22:D26)</f>
        <v>1770</v>
      </c>
      <c r="E27" s="30">
        <f t="shared" si="4"/>
        <v>4460</v>
      </c>
      <c r="F27" s="31">
        <f t="shared" si="4"/>
        <v>-2690</v>
      </c>
      <c r="G27" s="9"/>
    </row>
    <row r="28" ht="24.75" customHeight="1">
      <c r="B28" s="10"/>
      <c r="C28" s="32"/>
      <c r="D28" s="32"/>
      <c r="E28" s="32"/>
      <c r="F28" s="32"/>
      <c r="G28" s="9"/>
    </row>
    <row r="29" ht="24.75" customHeight="1">
      <c r="A29" s="21"/>
      <c r="B29" s="22"/>
      <c r="C29" s="34" t="s">
        <v>25</v>
      </c>
      <c r="D29" s="37" t="s">
        <v>7</v>
      </c>
      <c r="E29" s="37" t="s">
        <v>26</v>
      </c>
      <c r="F29" s="38" t="s">
        <v>9</v>
      </c>
      <c r="G29" s="9"/>
    </row>
    <row r="30" ht="24.75" customHeight="1">
      <c r="A30" s="11"/>
      <c r="B30" s="12"/>
      <c r="C30" s="26" t="s">
        <v>27</v>
      </c>
      <c r="D30" s="27">
        <v>1250.0</v>
      </c>
      <c r="E30" s="27">
        <v>1249.0</v>
      </c>
      <c r="F30" s="28">
        <f t="shared" ref="F30:F35" si="5">D30-E30</f>
        <v>1</v>
      </c>
      <c r="G30" s="9"/>
    </row>
    <row r="31" ht="24.75" customHeight="1">
      <c r="A31" s="11"/>
      <c r="B31" s="12"/>
      <c r="C31" s="26" t="s">
        <v>28</v>
      </c>
      <c r="D31" s="27">
        <v>500.0</v>
      </c>
      <c r="E31" s="27">
        <v>550.0</v>
      </c>
      <c r="F31" s="28">
        <f t="shared" si="5"/>
        <v>-50</v>
      </c>
      <c r="G31" s="9"/>
    </row>
    <row r="32" ht="24.75" customHeight="1">
      <c r="A32" s="11"/>
      <c r="B32" s="12"/>
      <c r="C32" s="26" t="s">
        <v>29</v>
      </c>
      <c r="D32" s="27">
        <v>300.0</v>
      </c>
      <c r="E32" s="27">
        <v>355.0</v>
      </c>
      <c r="F32" s="28">
        <f t="shared" si="5"/>
        <v>-55</v>
      </c>
      <c r="G32" s="9"/>
    </row>
    <row r="33" ht="24.75" customHeight="1">
      <c r="A33" s="11"/>
      <c r="B33" s="12"/>
      <c r="C33" s="26" t="s">
        <v>30</v>
      </c>
      <c r="D33" s="27">
        <v>200.0</v>
      </c>
      <c r="E33" s="27">
        <v>205.0</v>
      </c>
      <c r="F33" s="28">
        <f t="shared" si="5"/>
        <v>-5</v>
      </c>
      <c r="G33" s="9"/>
    </row>
    <row r="34" ht="24.75" customHeight="1">
      <c r="A34" s="11"/>
      <c r="B34" s="12"/>
      <c r="C34" s="26" t="s">
        <v>31</v>
      </c>
      <c r="D34" s="27">
        <v>900.0</v>
      </c>
      <c r="E34" s="27">
        <v>1250.0</v>
      </c>
      <c r="F34" s="28">
        <f t="shared" si="5"/>
        <v>-350</v>
      </c>
      <c r="G34" s="9"/>
    </row>
    <row r="35" ht="24.75" customHeight="1">
      <c r="A35" s="11"/>
      <c r="B35" s="12"/>
      <c r="C35" s="26" t="s">
        <v>32</v>
      </c>
      <c r="D35" s="27">
        <v>250.0</v>
      </c>
      <c r="E35" s="27">
        <v>200.0</v>
      </c>
      <c r="F35" s="28">
        <f t="shared" si="5"/>
        <v>50</v>
      </c>
      <c r="G35" s="9"/>
    </row>
    <row r="36" ht="24.75" customHeight="1">
      <c r="A36" s="21"/>
      <c r="B36" s="22"/>
      <c r="C36" s="29" t="s">
        <v>24</v>
      </c>
      <c r="D36" s="30">
        <f t="shared" ref="D36:F36" si="6">SUM(D30:D35)</f>
        <v>3400</v>
      </c>
      <c r="E36" s="30">
        <f t="shared" si="6"/>
        <v>3809</v>
      </c>
      <c r="F36" s="31">
        <f t="shared" si="6"/>
        <v>-409</v>
      </c>
      <c r="G36" s="9"/>
    </row>
    <row r="37" ht="24.75" customHeight="1">
      <c r="B37" s="10"/>
      <c r="C37" s="32"/>
      <c r="D37" s="32"/>
      <c r="E37" s="32"/>
      <c r="F37" s="32"/>
      <c r="G37" s="9"/>
    </row>
    <row r="38" ht="24.75" customHeight="1">
      <c r="A38" s="21"/>
      <c r="B38" s="22"/>
      <c r="C38" s="34" t="s">
        <v>33</v>
      </c>
      <c r="D38" s="37" t="s">
        <v>7</v>
      </c>
      <c r="E38" s="37" t="s">
        <v>26</v>
      </c>
      <c r="F38" s="38" t="s">
        <v>9</v>
      </c>
      <c r="G38" s="9"/>
    </row>
    <row r="39" ht="24.75" customHeight="1">
      <c r="A39" s="11"/>
      <c r="B39" s="12"/>
      <c r="C39" s="26" t="s">
        <v>34</v>
      </c>
      <c r="D39" s="27">
        <v>550.0</v>
      </c>
      <c r="E39" s="27">
        <v>655.0</v>
      </c>
      <c r="F39" s="28">
        <f t="shared" ref="F39:F42" si="7">D39-E39</f>
        <v>-105</v>
      </c>
      <c r="G39" s="9"/>
    </row>
    <row r="40" ht="24.75" customHeight="1">
      <c r="A40" s="11"/>
      <c r="B40" s="12"/>
      <c r="C40" s="26" t="s">
        <v>35</v>
      </c>
      <c r="D40" s="27">
        <v>2500.0</v>
      </c>
      <c r="E40" s="27">
        <v>3000.0</v>
      </c>
      <c r="F40" s="28">
        <f t="shared" si="7"/>
        <v>-500</v>
      </c>
      <c r="G40" s="9"/>
    </row>
    <row r="41" ht="24.75" customHeight="1">
      <c r="A41" s="11"/>
      <c r="B41" s="12"/>
      <c r="C41" s="26" t="s">
        <v>36</v>
      </c>
      <c r="D41" s="27">
        <v>2000.0</v>
      </c>
      <c r="E41" s="27">
        <v>1580.0</v>
      </c>
      <c r="F41" s="28">
        <f t="shared" si="7"/>
        <v>420</v>
      </c>
      <c r="G41" s="9"/>
    </row>
    <row r="42" ht="24.75" customHeight="1">
      <c r="A42" s="11"/>
      <c r="B42" s="12"/>
      <c r="C42" s="26" t="s">
        <v>15</v>
      </c>
      <c r="D42" s="27">
        <v>450.0</v>
      </c>
      <c r="E42" s="27">
        <v>400.0</v>
      </c>
      <c r="F42" s="28">
        <f t="shared" si="7"/>
        <v>50</v>
      </c>
      <c r="G42" s="9"/>
    </row>
    <row r="43" ht="24.75" customHeight="1">
      <c r="A43" s="21"/>
      <c r="B43" s="22"/>
      <c r="C43" s="29" t="s">
        <v>37</v>
      </c>
      <c r="D43" s="30">
        <f t="shared" ref="D43:F43" si="8">SUM(D39:D42)</f>
        <v>5500</v>
      </c>
      <c r="E43" s="30">
        <f t="shared" si="8"/>
        <v>5635</v>
      </c>
      <c r="F43" s="31">
        <f t="shared" si="8"/>
        <v>-135</v>
      </c>
      <c r="G43" s="9"/>
    </row>
    <row r="44" ht="24.75" customHeight="1">
      <c r="B44" s="10"/>
      <c r="C44" s="32"/>
      <c r="D44" s="32"/>
      <c r="E44" s="32"/>
      <c r="F44" s="32"/>
      <c r="G44" s="9"/>
    </row>
    <row r="45" ht="24.75" customHeight="1">
      <c r="A45" s="39"/>
      <c r="B45" s="40"/>
      <c r="C45" s="41" t="s">
        <v>38</v>
      </c>
      <c r="D45" s="42" t="s">
        <v>7</v>
      </c>
      <c r="E45" s="42" t="s">
        <v>26</v>
      </c>
      <c r="F45" s="43" t="s">
        <v>9</v>
      </c>
      <c r="G45" s="9"/>
    </row>
    <row r="46" ht="24.75" customHeight="1">
      <c r="A46" s="44"/>
      <c r="B46" s="45"/>
      <c r="C46" s="46" t="s">
        <v>39</v>
      </c>
      <c r="D46" s="47">
        <v>4500.0</v>
      </c>
      <c r="E46" s="47">
        <v>4000.0</v>
      </c>
      <c r="F46" s="48">
        <f t="shared" ref="F46:F49" si="9">D46-E46</f>
        <v>500</v>
      </c>
      <c r="G46" s="9"/>
    </row>
    <row r="47" ht="24.75" customHeight="1">
      <c r="A47" s="44"/>
      <c r="B47" s="45"/>
      <c r="C47" s="46" t="s">
        <v>40</v>
      </c>
      <c r="D47" s="47">
        <v>11459.0</v>
      </c>
      <c r="E47" s="47">
        <v>11500.0</v>
      </c>
      <c r="F47" s="48">
        <f t="shared" si="9"/>
        <v>-41</v>
      </c>
      <c r="G47" s="9"/>
    </row>
    <row r="48" ht="24.75" customHeight="1">
      <c r="A48" s="44"/>
      <c r="B48" s="45"/>
      <c r="C48" s="46" t="s">
        <v>41</v>
      </c>
      <c r="D48" s="47">
        <v>15000.0</v>
      </c>
      <c r="E48" s="47">
        <v>12500.0</v>
      </c>
      <c r="F48" s="48">
        <f t="shared" si="9"/>
        <v>2500</v>
      </c>
      <c r="G48" s="9"/>
    </row>
    <row r="49" ht="24.75" customHeight="1">
      <c r="A49" s="44"/>
      <c r="B49" s="45"/>
      <c r="C49" s="46" t="s">
        <v>42</v>
      </c>
      <c r="D49" s="47">
        <v>6000.0</v>
      </c>
      <c r="E49" s="47">
        <v>6050.0</v>
      </c>
      <c r="F49" s="48">
        <f t="shared" si="9"/>
        <v>-50</v>
      </c>
      <c r="G49" s="9"/>
    </row>
    <row r="50" ht="24.75" customHeight="1">
      <c r="A50" s="39"/>
      <c r="B50" s="40"/>
      <c r="C50" s="49" t="s">
        <v>37</v>
      </c>
      <c r="D50" s="50">
        <f t="shared" ref="D50:F50" si="10">SUM(D46:D49)</f>
        <v>36959</v>
      </c>
      <c r="E50" s="50">
        <f t="shared" si="10"/>
        <v>34050</v>
      </c>
      <c r="F50" s="51">
        <f t="shared" si="10"/>
        <v>2909</v>
      </c>
      <c r="G50" s="9"/>
    </row>
    <row r="51" ht="24.75" customHeight="1">
      <c r="B51" s="10"/>
      <c r="C51" s="32"/>
      <c r="D51" s="32"/>
      <c r="E51" s="32"/>
      <c r="F51" s="32"/>
      <c r="G51" s="9"/>
    </row>
    <row r="52" ht="24.75" customHeight="1">
      <c r="A52" s="21"/>
      <c r="B52" s="22"/>
      <c r="C52" s="34" t="s">
        <v>43</v>
      </c>
      <c r="D52" s="37" t="s">
        <v>7</v>
      </c>
      <c r="E52" s="37" t="s">
        <v>8</v>
      </c>
      <c r="F52" s="38" t="s">
        <v>9</v>
      </c>
      <c r="G52" s="9"/>
    </row>
    <row r="53" ht="24.75" customHeight="1">
      <c r="A53" s="11"/>
      <c r="B53" s="12"/>
      <c r="C53" s="26" t="s">
        <v>44</v>
      </c>
      <c r="D53" s="27">
        <v>450.0</v>
      </c>
      <c r="E53" s="27">
        <v>460.0</v>
      </c>
      <c r="F53" s="28">
        <f t="shared" ref="F53:F58" si="11">D53-E53</f>
        <v>-10</v>
      </c>
      <c r="G53" s="9"/>
    </row>
    <row r="54" ht="24.75" customHeight="1">
      <c r="A54" s="11"/>
      <c r="B54" s="12"/>
      <c r="C54" s="26" t="s">
        <v>45</v>
      </c>
      <c r="D54" s="27">
        <v>150.0</v>
      </c>
      <c r="E54" s="27">
        <v>155.0</v>
      </c>
      <c r="F54" s="28">
        <f t="shared" si="11"/>
        <v>-5</v>
      </c>
      <c r="G54" s="9"/>
    </row>
    <row r="55" ht="24.75" customHeight="1">
      <c r="A55" s="11"/>
      <c r="B55" s="12"/>
      <c r="C55" s="26" t="s">
        <v>46</v>
      </c>
      <c r="D55" s="27">
        <v>652.0</v>
      </c>
      <c r="E55" s="27">
        <v>650.0</v>
      </c>
      <c r="F55" s="28">
        <f t="shared" si="11"/>
        <v>2</v>
      </c>
      <c r="G55" s="9"/>
    </row>
    <row r="56" ht="24.75" customHeight="1">
      <c r="A56" s="11"/>
      <c r="B56" s="12"/>
      <c r="C56" s="26" t="s">
        <v>47</v>
      </c>
      <c r="D56" s="27">
        <v>1000.0</v>
      </c>
      <c r="E56" s="27">
        <v>1050.0</v>
      </c>
      <c r="F56" s="28">
        <f t="shared" si="11"/>
        <v>-50</v>
      </c>
      <c r="G56" s="9"/>
    </row>
    <row r="57" ht="24.75" customHeight="1">
      <c r="A57" s="11"/>
      <c r="B57" s="12"/>
      <c r="C57" s="26" t="s">
        <v>48</v>
      </c>
      <c r="D57" s="27">
        <v>600.0</v>
      </c>
      <c r="E57" s="27">
        <v>650.0</v>
      </c>
      <c r="F57" s="28">
        <f t="shared" si="11"/>
        <v>-50</v>
      </c>
      <c r="G57" s="9"/>
    </row>
    <row r="58" ht="24.75" customHeight="1">
      <c r="A58" s="11"/>
      <c r="B58" s="12"/>
      <c r="C58" s="26" t="s">
        <v>49</v>
      </c>
      <c r="D58" s="27">
        <v>750.0</v>
      </c>
      <c r="E58" s="27">
        <v>699.0</v>
      </c>
      <c r="F58" s="28">
        <f t="shared" si="11"/>
        <v>51</v>
      </c>
      <c r="G58" s="9"/>
    </row>
    <row r="59" ht="24.75" customHeight="1">
      <c r="A59" s="21"/>
      <c r="B59" s="22"/>
      <c r="C59" s="29" t="s">
        <v>37</v>
      </c>
      <c r="D59" s="30">
        <f t="shared" ref="D59:F59" si="12">SUM(D53:D58)</f>
        <v>3602</v>
      </c>
      <c r="E59" s="30">
        <f t="shared" si="12"/>
        <v>3664</v>
      </c>
      <c r="F59" s="31">
        <f t="shared" si="12"/>
        <v>-62</v>
      </c>
      <c r="G59" s="9"/>
    </row>
    <row r="60" ht="24.75" customHeight="1">
      <c r="B60" s="10"/>
      <c r="C60" s="32"/>
      <c r="D60" s="32"/>
      <c r="E60" s="32"/>
      <c r="F60" s="32"/>
      <c r="G60" s="9"/>
    </row>
    <row r="61" ht="24.75" customHeight="1">
      <c r="A61" s="21"/>
      <c r="B61" s="22"/>
      <c r="C61" s="34" t="s">
        <v>50</v>
      </c>
      <c r="D61" s="37" t="s">
        <v>7</v>
      </c>
      <c r="E61" s="37" t="s">
        <v>8</v>
      </c>
      <c r="F61" s="38" t="s">
        <v>9</v>
      </c>
      <c r="G61" s="9"/>
    </row>
    <row r="62" ht="24.75" customHeight="1">
      <c r="A62" s="11"/>
      <c r="B62" s="12"/>
      <c r="C62" s="26" t="s">
        <v>51</v>
      </c>
      <c r="D62" s="27">
        <v>7500.0</v>
      </c>
      <c r="E62" s="27">
        <v>7050.0</v>
      </c>
      <c r="F62" s="28">
        <f t="shared" ref="F62:F67" si="13">D62-E62</f>
        <v>450</v>
      </c>
      <c r="G62" s="9"/>
    </row>
    <row r="63" ht="24.75" customHeight="1">
      <c r="A63" s="11"/>
      <c r="B63" s="12"/>
      <c r="C63" s="26" t="s">
        <v>52</v>
      </c>
      <c r="D63" s="27">
        <v>1050.0</v>
      </c>
      <c r="E63" s="27">
        <v>1000.0</v>
      </c>
      <c r="F63" s="28">
        <f t="shared" si="13"/>
        <v>50</v>
      </c>
      <c r="G63" s="9"/>
    </row>
    <row r="64" ht="24.75" customHeight="1">
      <c r="A64" s="11"/>
      <c r="B64" s="12"/>
      <c r="C64" s="26" t="s">
        <v>53</v>
      </c>
      <c r="D64" s="27">
        <v>456.0</v>
      </c>
      <c r="E64" s="27">
        <v>500.0</v>
      </c>
      <c r="F64" s="28">
        <f t="shared" si="13"/>
        <v>-44</v>
      </c>
      <c r="G64" s="9"/>
    </row>
    <row r="65" ht="24.75" customHeight="1">
      <c r="A65" s="11"/>
      <c r="B65" s="12"/>
      <c r="C65" s="26" t="s">
        <v>54</v>
      </c>
      <c r="D65" s="27">
        <v>1500.0</v>
      </c>
      <c r="E65" s="27">
        <v>1550.0</v>
      </c>
      <c r="F65" s="28">
        <f t="shared" si="13"/>
        <v>-50</v>
      </c>
      <c r="G65" s="9"/>
    </row>
    <row r="66" ht="24.75" customHeight="1">
      <c r="A66" s="11"/>
      <c r="B66" s="12"/>
      <c r="C66" s="26" t="s">
        <v>55</v>
      </c>
      <c r="D66" s="27">
        <v>900.0</v>
      </c>
      <c r="E66" s="27">
        <v>850.0</v>
      </c>
      <c r="F66" s="28">
        <f t="shared" si="13"/>
        <v>50</v>
      </c>
      <c r="G66" s="9"/>
    </row>
    <row r="67" ht="24.75" customHeight="1">
      <c r="A67" s="11"/>
      <c r="B67" s="12"/>
      <c r="C67" s="26" t="s">
        <v>56</v>
      </c>
      <c r="D67" s="27">
        <v>1500.0</v>
      </c>
      <c r="E67" s="27">
        <v>1520.0</v>
      </c>
      <c r="F67" s="28">
        <f t="shared" si="13"/>
        <v>-20</v>
      </c>
      <c r="G67" s="9"/>
    </row>
    <row r="68" ht="24.75" customHeight="1">
      <c r="A68" s="21"/>
      <c r="B68" s="22"/>
      <c r="C68" s="29" t="s">
        <v>24</v>
      </c>
      <c r="D68" s="30">
        <f t="shared" ref="D68:F68" si="14">SUM(D62:D67)</f>
        <v>12906</v>
      </c>
      <c r="E68" s="30">
        <f t="shared" si="14"/>
        <v>12470</v>
      </c>
      <c r="F68" s="31">
        <f t="shared" si="14"/>
        <v>436</v>
      </c>
      <c r="G68" s="9"/>
    </row>
    <row r="69" ht="19.5" customHeight="1">
      <c r="B69" s="52"/>
      <c r="C69" s="53"/>
      <c r="D69" s="53"/>
      <c r="E69" s="53"/>
      <c r="F69" s="53"/>
      <c r="G69" s="54"/>
    </row>
    <row r="70" ht="19.5" customHeight="1"/>
  </sheetData>
  <mergeCells count="3">
    <mergeCell ref="C3:F3"/>
    <mergeCell ref="C10:F10"/>
    <mergeCell ref="C20:F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3">
      <c r="B23" s="55" t="s">
        <v>57</v>
      </c>
    </row>
    <row r="25">
      <c r="B25" s="55" t="s">
        <v>58</v>
      </c>
    </row>
    <row r="26">
      <c r="B26" s="55" t="s">
        <v>59</v>
      </c>
    </row>
    <row r="27">
      <c r="B27" s="55" t="s">
        <v>60</v>
      </c>
    </row>
    <row r="29">
      <c r="B29" s="55" t="s">
        <v>61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