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 Core i5 11thGen\Downloads\"/>
    </mc:Choice>
  </mc:AlternateContent>
  <xr:revisionPtr revIDLastSave="0" documentId="13_ncr:1_{E435C949-E8B2-4280-8BD4-A7E52B22E3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mily Budget Worksheet Templa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6" i="1" l="1"/>
  <c r="N156" i="1"/>
  <c r="M156" i="1"/>
  <c r="L156" i="1"/>
  <c r="K156" i="1"/>
  <c r="J156" i="1"/>
  <c r="I156" i="1"/>
  <c r="H156" i="1"/>
  <c r="G156" i="1"/>
  <c r="F156" i="1"/>
  <c r="E156" i="1"/>
  <c r="D156" i="1"/>
  <c r="C156" i="1"/>
  <c r="P155" i="1"/>
  <c r="Q155" i="1" s="1"/>
  <c r="P154" i="1"/>
  <c r="Q153" i="1"/>
  <c r="P153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P147" i="1"/>
  <c r="Q147" i="1" s="1"/>
  <c r="Q146" i="1"/>
  <c r="P146" i="1"/>
  <c r="P145" i="1"/>
  <c r="Q145" i="1" s="1"/>
  <c r="P144" i="1"/>
  <c r="Q144" i="1" s="1"/>
  <c r="P143" i="1"/>
  <c r="Q143" i="1" s="1"/>
  <c r="Q149" i="1" s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P137" i="1"/>
  <c r="Q137" i="1" s="1"/>
  <c r="P136" i="1"/>
  <c r="Q136" i="1" s="1"/>
  <c r="Q135" i="1"/>
  <c r="P135" i="1"/>
  <c r="P134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Q129" i="1"/>
  <c r="P129" i="1"/>
  <c r="P128" i="1"/>
  <c r="Q128" i="1" s="1"/>
  <c r="Q127" i="1"/>
  <c r="P127" i="1"/>
  <c r="P126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Q120" i="1"/>
  <c r="P120" i="1"/>
  <c r="P119" i="1"/>
  <c r="Q119" i="1" s="1"/>
  <c r="P118" i="1"/>
  <c r="Q118" i="1" s="1"/>
  <c r="P117" i="1"/>
  <c r="Q117" i="1" s="1"/>
  <c r="Q116" i="1"/>
  <c r="P116" i="1"/>
  <c r="P115" i="1"/>
  <c r="Q115" i="1" s="1"/>
  <c r="P114" i="1"/>
  <c r="P113" i="1"/>
  <c r="Q113" i="1" s="1"/>
  <c r="P110" i="1"/>
  <c r="H110" i="1"/>
  <c r="D110" i="1"/>
  <c r="O109" i="1"/>
  <c r="O110" i="1" s="1"/>
  <c r="N109" i="1"/>
  <c r="M109" i="1"/>
  <c r="L109" i="1"/>
  <c r="K109" i="1"/>
  <c r="K110" i="1" s="1"/>
  <c r="J109" i="1"/>
  <c r="I109" i="1"/>
  <c r="I110" i="1" s="1"/>
  <c r="H109" i="1"/>
  <c r="G109" i="1"/>
  <c r="G110" i="1" s="1"/>
  <c r="F109" i="1"/>
  <c r="E109" i="1"/>
  <c r="D109" i="1"/>
  <c r="Q106" i="1"/>
  <c r="Q109" i="1" s="1"/>
  <c r="P106" i="1"/>
  <c r="P109" i="1" s="1"/>
  <c r="L110" i="1" s="1"/>
  <c r="P102" i="1"/>
  <c r="E103" i="1" s="1"/>
  <c r="O102" i="1"/>
  <c r="N102" i="1"/>
  <c r="M102" i="1"/>
  <c r="L102" i="1"/>
  <c r="K102" i="1"/>
  <c r="J102" i="1"/>
  <c r="I102" i="1"/>
  <c r="H102" i="1"/>
  <c r="H103" i="1" s="1"/>
  <c r="G102" i="1"/>
  <c r="F102" i="1"/>
  <c r="E102" i="1"/>
  <c r="D102" i="1"/>
  <c r="Q100" i="1"/>
  <c r="P100" i="1"/>
  <c r="P99" i="1"/>
  <c r="Q99" i="1" s="1"/>
  <c r="Q102" i="1" s="1"/>
  <c r="O95" i="1"/>
  <c r="N95" i="1"/>
  <c r="M95" i="1"/>
  <c r="L95" i="1"/>
  <c r="K95" i="1"/>
  <c r="J95" i="1"/>
  <c r="I95" i="1"/>
  <c r="H95" i="1"/>
  <c r="G95" i="1"/>
  <c r="F95" i="1"/>
  <c r="E95" i="1"/>
  <c r="D95" i="1"/>
  <c r="P92" i="1"/>
  <c r="Q92" i="1" s="1"/>
  <c r="P91" i="1"/>
  <c r="Q91" i="1" s="1"/>
  <c r="Q95" i="1" s="1"/>
  <c r="O87" i="1"/>
  <c r="N87" i="1"/>
  <c r="M87" i="1"/>
  <c r="M22" i="1" s="1"/>
  <c r="L87" i="1"/>
  <c r="K87" i="1"/>
  <c r="J87" i="1"/>
  <c r="I87" i="1"/>
  <c r="H87" i="1"/>
  <c r="G87" i="1"/>
  <c r="F87" i="1"/>
  <c r="E87" i="1"/>
  <c r="D87" i="1"/>
  <c r="P84" i="1"/>
  <c r="Q84" i="1" s="1"/>
  <c r="Q83" i="1"/>
  <c r="P83" i="1"/>
  <c r="P82" i="1"/>
  <c r="O78" i="1"/>
  <c r="N78" i="1"/>
  <c r="M78" i="1"/>
  <c r="L78" i="1"/>
  <c r="K78" i="1"/>
  <c r="J78" i="1"/>
  <c r="I78" i="1"/>
  <c r="H78" i="1"/>
  <c r="G78" i="1"/>
  <c r="F78" i="1"/>
  <c r="E78" i="1"/>
  <c r="D78" i="1"/>
  <c r="P76" i="1"/>
  <c r="Q76" i="1" s="1"/>
  <c r="P75" i="1"/>
  <c r="Q75" i="1" s="1"/>
  <c r="P74" i="1"/>
  <c r="O70" i="1"/>
  <c r="N70" i="1"/>
  <c r="M70" i="1"/>
  <c r="L70" i="1"/>
  <c r="K70" i="1"/>
  <c r="J70" i="1"/>
  <c r="I70" i="1"/>
  <c r="H70" i="1"/>
  <c r="G70" i="1"/>
  <c r="F70" i="1"/>
  <c r="E70" i="1"/>
  <c r="D70" i="1"/>
  <c r="Q67" i="1"/>
  <c r="P67" i="1"/>
  <c r="P66" i="1"/>
  <c r="Q66" i="1" s="1"/>
  <c r="P65" i="1"/>
  <c r="P70" i="1" s="1"/>
  <c r="P64" i="1"/>
  <c r="Q64" i="1" s="1"/>
  <c r="O60" i="1"/>
  <c r="N60" i="1"/>
  <c r="M60" i="1"/>
  <c r="L60" i="1"/>
  <c r="L22" i="1" s="1"/>
  <c r="L23" i="1" s="1"/>
  <c r="K60" i="1"/>
  <c r="J60" i="1"/>
  <c r="I60" i="1"/>
  <c r="I22" i="1" s="1"/>
  <c r="H60" i="1"/>
  <c r="G60" i="1"/>
  <c r="F60" i="1"/>
  <c r="E60" i="1"/>
  <c r="D60" i="1"/>
  <c r="D22" i="1" s="1"/>
  <c r="P57" i="1"/>
  <c r="Q57" i="1" s="1"/>
  <c r="Q56" i="1"/>
  <c r="P56" i="1"/>
  <c r="P55" i="1"/>
  <c r="Q55" i="1" s="1"/>
  <c r="P54" i="1"/>
  <c r="Q54" i="1" s="1"/>
  <c r="P53" i="1"/>
  <c r="Q53" i="1" s="1"/>
  <c r="Q52" i="1"/>
  <c r="P52" i="1"/>
  <c r="P51" i="1"/>
  <c r="Q51" i="1" s="1"/>
  <c r="P50" i="1"/>
  <c r="O46" i="1"/>
  <c r="N46" i="1"/>
  <c r="M46" i="1"/>
  <c r="L46" i="1"/>
  <c r="K46" i="1"/>
  <c r="J46" i="1"/>
  <c r="I46" i="1"/>
  <c r="I26" i="1" s="1"/>
  <c r="H46" i="1"/>
  <c r="G46" i="1"/>
  <c r="F46" i="1"/>
  <c r="E46" i="1"/>
  <c r="E26" i="1" s="1"/>
  <c r="D46" i="1"/>
  <c r="D26" i="1" s="1"/>
  <c r="P43" i="1"/>
  <c r="Q43" i="1" s="1"/>
  <c r="Q42" i="1"/>
  <c r="P42" i="1"/>
  <c r="P41" i="1"/>
  <c r="Q41" i="1" s="1"/>
  <c r="P40" i="1"/>
  <c r="Q40" i="1" s="1"/>
  <c r="Q46" i="1" s="1"/>
  <c r="Q26" i="1" s="1"/>
  <c r="O37" i="1"/>
  <c r="O21" i="1" s="1"/>
  <c r="N37" i="1"/>
  <c r="M37" i="1"/>
  <c r="M21" i="1" s="1"/>
  <c r="L37" i="1"/>
  <c r="L21" i="1" s="1"/>
  <c r="K37" i="1"/>
  <c r="J37" i="1"/>
  <c r="J21" i="1" s="1"/>
  <c r="J25" i="1" s="1"/>
  <c r="I37" i="1"/>
  <c r="H37" i="1"/>
  <c r="G37" i="1"/>
  <c r="G21" i="1" s="1"/>
  <c r="F37" i="1"/>
  <c r="E37" i="1"/>
  <c r="E21" i="1" s="1"/>
  <c r="D37" i="1"/>
  <c r="D21" i="1" s="1"/>
  <c r="P33" i="1"/>
  <c r="Q33" i="1" s="1"/>
  <c r="P32" i="1"/>
  <c r="Q32" i="1" s="1"/>
  <c r="O26" i="1"/>
  <c r="N26" i="1"/>
  <c r="K26" i="1"/>
  <c r="J26" i="1"/>
  <c r="H26" i="1"/>
  <c r="G26" i="1"/>
  <c r="F26" i="1"/>
  <c r="D25" i="1"/>
  <c r="P24" i="1"/>
  <c r="Q24" i="1" s="1"/>
  <c r="D23" i="1"/>
  <c r="J22" i="1"/>
  <c r="E22" i="1"/>
  <c r="N21" i="1"/>
  <c r="K21" i="1"/>
  <c r="I21" i="1"/>
  <c r="H21" i="1"/>
  <c r="F21" i="1"/>
  <c r="D71" i="1" l="1"/>
  <c r="J71" i="1"/>
  <c r="I71" i="1"/>
  <c r="E71" i="1"/>
  <c r="P71" i="1"/>
  <c r="H71" i="1"/>
  <c r="M71" i="1"/>
  <c r="K79" i="1"/>
  <c r="K71" i="1"/>
  <c r="K131" i="1"/>
  <c r="J23" i="1"/>
  <c r="Q37" i="1"/>
  <c r="G22" i="1"/>
  <c r="G25" i="1" s="1"/>
  <c r="O22" i="1"/>
  <c r="O23" i="1" s="1"/>
  <c r="F79" i="1"/>
  <c r="N79" i="1"/>
  <c r="K103" i="1"/>
  <c r="I103" i="1"/>
  <c r="F110" i="1"/>
  <c r="N110" i="1"/>
  <c r="M110" i="1"/>
  <c r="E123" i="1"/>
  <c r="M123" i="1"/>
  <c r="Q134" i="1"/>
  <c r="Q139" i="1" s="1"/>
  <c r="P139" i="1"/>
  <c r="F140" i="1"/>
  <c r="N140" i="1"/>
  <c r="P149" i="1"/>
  <c r="D103" i="1"/>
  <c r="L103" i="1"/>
  <c r="J103" i="1"/>
  <c r="F123" i="1"/>
  <c r="P130" i="1"/>
  <c r="G140" i="1"/>
  <c r="O140" i="1"/>
  <c r="I150" i="1"/>
  <c r="I25" i="1"/>
  <c r="L25" i="1"/>
  <c r="F71" i="1"/>
  <c r="G71" i="1"/>
  <c r="O71" i="1"/>
  <c r="P78" i="1"/>
  <c r="G79" i="1" s="1"/>
  <c r="K96" i="1"/>
  <c r="M103" i="1"/>
  <c r="G131" i="1"/>
  <c r="O131" i="1"/>
  <c r="P60" i="1"/>
  <c r="N71" i="1"/>
  <c r="P87" i="1"/>
  <c r="E88" i="1" s="1"/>
  <c r="Q82" i="1"/>
  <c r="Q87" i="1" s="1"/>
  <c r="Q65" i="1"/>
  <c r="Q74" i="1"/>
  <c r="Q78" i="1" s="1"/>
  <c r="J88" i="1"/>
  <c r="F103" i="1"/>
  <c r="N103" i="1"/>
  <c r="P103" i="1"/>
  <c r="P122" i="1"/>
  <c r="L88" i="1"/>
  <c r="Q70" i="1"/>
  <c r="L26" i="1"/>
  <c r="M26" i="1"/>
  <c r="E25" i="1"/>
  <c r="E23" i="1"/>
  <c r="M25" i="1"/>
  <c r="M23" i="1"/>
  <c r="K22" i="1"/>
  <c r="K23" i="1" s="1"/>
  <c r="J79" i="1"/>
  <c r="G103" i="1"/>
  <c r="O103" i="1"/>
  <c r="J110" i="1"/>
  <c r="E110" i="1"/>
  <c r="Q114" i="1"/>
  <c r="Q122" i="1" s="1"/>
  <c r="G157" i="1"/>
  <c r="D88" i="1"/>
  <c r="N96" i="1"/>
  <c r="J123" i="1"/>
  <c r="J131" i="1"/>
  <c r="K140" i="1"/>
  <c r="E150" i="1"/>
  <c r="M150" i="1"/>
  <c r="Q154" i="1"/>
  <c r="Q156" i="1" s="1"/>
  <c r="P156" i="1"/>
  <c r="D47" i="1"/>
  <c r="F96" i="1"/>
  <c r="M88" i="1"/>
  <c r="H22" i="1"/>
  <c r="H25" i="1" s="1"/>
  <c r="P46" i="1"/>
  <c r="L47" i="1" s="1"/>
  <c r="F22" i="1"/>
  <c r="F25" i="1" s="1"/>
  <c r="F61" i="1"/>
  <c r="N22" i="1"/>
  <c r="N25" i="1" s="1"/>
  <c r="N61" i="1"/>
  <c r="L71" i="1"/>
  <c r="E79" i="1"/>
  <c r="M79" i="1"/>
  <c r="P95" i="1"/>
  <c r="M96" i="1" s="1"/>
  <c r="Q126" i="1"/>
  <c r="Q130" i="1" s="1"/>
  <c r="Q50" i="1"/>
  <c r="Q60" i="1" s="1"/>
  <c r="P37" i="1"/>
  <c r="P21" i="1" s="1"/>
  <c r="I23" i="1"/>
  <c r="O61" i="1" l="1"/>
  <c r="G61" i="1"/>
  <c r="M61" i="1"/>
  <c r="H61" i="1"/>
  <c r="E61" i="1"/>
  <c r="P22" i="1"/>
  <c r="Q22" i="1" s="1"/>
  <c r="L61" i="1"/>
  <c r="D61" i="1"/>
  <c r="P61" i="1"/>
  <c r="K61" i="1"/>
  <c r="O96" i="1"/>
  <c r="G96" i="1"/>
  <c r="P157" i="1"/>
  <c r="M157" i="1"/>
  <c r="E157" i="1"/>
  <c r="L157" i="1"/>
  <c r="D157" i="1"/>
  <c r="J157" i="1"/>
  <c r="I157" i="1"/>
  <c r="H157" i="1"/>
  <c r="N157" i="1"/>
  <c r="I61" i="1"/>
  <c r="K157" i="1"/>
  <c r="K25" i="1"/>
  <c r="F157" i="1"/>
  <c r="J61" i="1"/>
  <c r="P131" i="1"/>
  <c r="H131" i="1"/>
  <c r="N131" i="1"/>
  <c r="F131" i="1"/>
  <c r="M131" i="1"/>
  <c r="I131" i="1"/>
  <c r="E131" i="1"/>
  <c r="D131" i="1"/>
  <c r="L131" i="1"/>
  <c r="P150" i="1"/>
  <c r="O150" i="1"/>
  <c r="G150" i="1"/>
  <c r="N150" i="1"/>
  <c r="F150" i="1"/>
  <c r="L150" i="1"/>
  <c r="D150" i="1"/>
  <c r="K150" i="1"/>
  <c r="J150" i="1"/>
  <c r="O79" i="1"/>
  <c r="P25" i="1"/>
  <c r="Q25" i="1" s="1"/>
  <c r="P23" i="1"/>
  <c r="Q23" i="1" s="1"/>
  <c r="Q21" i="1"/>
  <c r="Q157" i="1" s="1"/>
  <c r="D96" i="1"/>
  <c r="P96" i="1"/>
  <c r="L96" i="1"/>
  <c r="H96" i="1"/>
  <c r="I96" i="1"/>
  <c r="J47" i="1"/>
  <c r="P26" i="1"/>
  <c r="O47" i="1"/>
  <c r="K47" i="1"/>
  <c r="H47" i="1"/>
  <c r="F47" i="1"/>
  <c r="G47" i="1"/>
  <c r="N47" i="1"/>
  <c r="P47" i="1"/>
  <c r="O157" i="1"/>
  <c r="E96" i="1"/>
  <c r="K123" i="1"/>
  <c r="I123" i="1"/>
  <c r="H123" i="1"/>
  <c r="D123" i="1"/>
  <c r="P123" i="1"/>
  <c r="L123" i="1"/>
  <c r="I47" i="1"/>
  <c r="N123" i="1"/>
  <c r="H150" i="1"/>
  <c r="M47" i="1"/>
  <c r="O25" i="1"/>
  <c r="O123" i="1"/>
  <c r="G23" i="1"/>
  <c r="N23" i="1"/>
  <c r="O88" i="1"/>
  <c r="N88" i="1"/>
  <c r="H88" i="1"/>
  <c r="G88" i="1"/>
  <c r="K88" i="1"/>
  <c r="F88" i="1"/>
  <c r="P88" i="1"/>
  <c r="I88" i="1"/>
  <c r="F23" i="1"/>
  <c r="H23" i="1"/>
  <c r="E47" i="1"/>
  <c r="J96" i="1"/>
  <c r="L79" i="1"/>
  <c r="H79" i="1"/>
  <c r="D79" i="1"/>
  <c r="I79" i="1"/>
  <c r="P79" i="1"/>
  <c r="M140" i="1"/>
  <c r="E140" i="1"/>
  <c r="L140" i="1"/>
  <c r="D140" i="1"/>
  <c r="J140" i="1"/>
  <c r="P140" i="1"/>
  <c r="I140" i="1"/>
  <c r="H140" i="1"/>
  <c r="G123" i="1"/>
</calcChain>
</file>

<file path=xl/sharedStrings.xml><?xml version="1.0" encoding="utf-8"?>
<sst xmlns="http://schemas.openxmlformats.org/spreadsheetml/2006/main" count="327" uniqueCount="108">
  <si>
    <t>Family Budget Worksheet</t>
  </si>
  <si>
    <t>Summary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</si>
  <si>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</si>
  <si>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</si>
  <si>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</si>
  <si>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</si>
  <si>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</si>
  <si>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</si>
  <si>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</si>
  <si>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</si>
  <si>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</si>
  <si>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</si>
  <si>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</si>
  <si>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</si>
  <si>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</si>
  <si>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Avg</t>
  </si>
  <si>
    <t>Total Income</t>
  </si>
  <si>
    <t>Total Expenses</t>
  </si>
  <si>
    <t>NET (Income - Expenses)</t>
  </si>
  <si>
    <t>Adjustment to Savings</t>
  </si>
  <si>
    <t>Spending Balance</t>
  </si>
  <si>
    <t>Savings Balance</t>
  </si>
  <si>
    <t>Beginning Spending Balance</t>
  </si>
  <si>
    <t>Beginning Savings Balance</t>
  </si>
  <si>
    <t>INCOME</t>
  </si>
  <si>
    <t xml:space="preserve"> Total </t>
  </si>
  <si>
    <t xml:space="preserve"> Avg </t>
  </si>
  <si>
    <t>Wages &amp; Tips</t>
  </si>
  <si>
    <t>Interest Income</t>
  </si>
  <si>
    <t>Dividends</t>
  </si>
  <si>
    <t>SAVINGS EXPENSE</t>
  </si>
  <si>
    <t>Emergency Fund</t>
  </si>
  <si>
    <t>Transfer to Savings</t>
  </si>
  <si>
    <t>Retirement (401k, IRA)</t>
  </si>
  <si>
    <t>Investments</t>
  </si>
  <si>
    <t>Others</t>
  </si>
  <si>
    <t>Total Savings Expense</t>
  </si>
  <si>
    <t>% of Total Expenses</t>
  </si>
  <si>
    <t>HOME EXPENSES</t>
  </si>
  <si>
    <t>Mortgage/Rent</t>
  </si>
  <si>
    <t>Electricity</t>
  </si>
  <si>
    <t>Gas/Oil</t>
  </si>
  <si>
    <t>Water/Sewer/Trash</t>
  </si>
  <si>
    <t>Phone</t>
  </si>
  <si>
    <t>Cable/Satellite</t>
  </si>
  <si>
    <t>Internet</t>
  </si>
  <si>
    <t>Furnishings/Appliances</t>
  </si>
  <si>
    <t>Other</t>
  </si>
  <si>
    <t>Total Home Expense</t>
  </si>
  <si>
    <t>DAILY LIVING</t>
  </si>
  <si>
    <t>Groceries</t>
  </si>
  <si>
    <t>Personal Supplies</t>
  </si>
  <si>
    <t>Clothing</t>
  </si>
  <si>
    <t>Cleaning Services</t>
  </si>
  <si>
    <t>Total Daily Livings</t>
  </si>
  <si>
    <t>CHILDREN</t>
  </si>
  <si>
    <t>School Tuition</t>
  </si>
  <si>
    <t>School Supplies</t>
  </si>
  <si>
    <t>Total Children</t>
  </si>
  <si>
    <t>TRANSPORTATION</t>
  </si>
  <si>
    <t>Fuel</t>
  </si>
  <si>
    <t>Bus/Taxi/Train Fare</t>
  </si>
  <si>
    <t>Repairs</t>
  </si>
  <si>
    <t>Total Transportation</t>
  </si>
  <si>
    <t>HEALTH</t>
  </si>
  <si>
    <t>Doctor/Dentist</t>
  </si>
  <si>
    <t>Medicine/Drugs</t>
  </si>
  <si>
    <t>Total Health</t>
  </si>
  <si>
    <t>INSURANCE</t>
  </si>
  <si>
    <t>Home/Rental</t>
  </si>
  <si>
    <t>Life</t>
  </si>
  <si>
    <t xml:space="preserve">Total Insurance </t>
  </si>
  <si>
    <t>BUSINESS EXPENSE</t>
  </si>
  <si>
    <t>Deductible Expenses</t>
  </si>
  <si>
    <t>Non-Deductible Expenses</t>
  </si>
  <si>
    <t>Total Business Expenses</t>
  </si>
  <si>
    <t>ENTERTAINMENT</t>
  </si>
  <si>
    <t>Videos/DVDs</t>
  </si>
  <si>
    <t>Music</t>
  </si>
  <si>
    <t>Games</t>
  </si>
  <si>
    <t>Movies/Theater</t>
  </si>
  <si>
    <t>Concerts/Plays</t>
  </si>
  <si>
    <t>Books</t>
  </si>
  <si>
    <t>Sports</t>
  </si>
  <si>
    <t>Toys/Gadgets</t>
  </si>
  <si>
    <t>PETS</t>
  </si>
  <si>
    <t>Food</t>
  </si>
  <si>
    <t>Medical</t>
  </si>
  <si>
    <t>Toys/Supplies</t>
  </si>
  <si>
    <t>Totl Pets</t>
  </si>
  <si>
    <t>SUBSCRIPTIONS</t>
  </si>
  <si>
    <t>Newspaper</t>
  </si>
  <si>
    <t>Magazines</t>
  </si>
  <si>
    <t>Dues</t>
  </si>
  <si>
    <t>Club Memberships</t>
  </si>
  <si>
    <t>VACATION</t>
  </si>
  <si>
    <t>Travel</t>
  </si>
  <si>
    <t>Lodging</t>
  </si>
  <si>
    <t>Rental Car</t>
  </si>
  <si>
    <t>Entertainment</t>
  </si>
  <si>
    <t>MISCELLANEOUS</t>
  </si>
  <si>
    <t>Bank Fees</t>
  </si>
  <si>
    <t>Postage</t>
  </si>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</sst>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_(* #,##0.00_);_(* \(#,##0.00\);_(* &quot;-&quot;??_);_(@_)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36"/>
      <color rgb="FF366092"/>
      <name val="Aller"/>
    </font>
    <font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111111"/>
      <name val="Calibri"/>
    </font>
    <font>
      <b/>
      <sz val="11"/>
      <color rgb="FF366092"/>
      <name val="Calibri"/>
    </font>
    <font>
      <sz val="11"/>
      <color rgb="FF366092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</fills>
  <borders count="24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 style="thin">
        <color rgb="FFD8D8D8"/>
      </right>
      <top style="thin">
        <color rgb="FF666666"/>
      </top>
      <bottom style="thin">
        <color rgb="FF666666"/>
      </bottom>
      <diagonal/>
    </border>
    <border>
      <left/>
      <right style="thin">
        <color rgb="FFD8D8D8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666666"/>
      </right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D8D8D8"/>
      </right>
      <top style="thin">
        <color rgb="FF666666"/>
      </top>
      <bottom style="thin">
        <color rgb="FFD8D8D8"/>
      </bottom>
      <diagonal/>
    </border>
    <border>
      <left/>
      <right style="thin">
        <color rgb="FFD8D8D8"/>
      </right>
      <top style="thin">
        <color rgb="FF666666"/>
      </top>
      <bottom style="thin">
        <color rgb="FFD8D8D8"/>
      </bottom>
      <diagonal/>
    </border>
    <border>
      <left/>
      <right style="thin">
        <color rgb="FF666666"/>
      </right>
      <top style="thin">
        <color rgb="FF666666"/>
      </top>
      <bottom style="thin">
        <color rgb="FFD8D8D8"/>
      </bottom>
      <diagonal/>
    </border>
    <border>
      <left style="thin">
        <color rgb="FF666666"/>
      </left>
      <right/>
      <top style="thin">
        <color rgb="FF666666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666666"/>
      </left>
      <right style="thin">
        <color rgb="FFD8D8D8"/>
      </right>
      <top/>
      <bottom/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/>
    <xf numFmtId="0" fontId="3" fillId="0" borderId="0" xfId="0" applyFont="1"/>
    <xf numFmtId="0" fontId="4" fillId="2" borderId="6" xfId="0" applyFont="1" applyFill="1" applyBorder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2" borderId="9" xfId="0" applyFont="1" applyFill="1" applyBorder="1"/>
    <xf numFmtId="164" fontId="6" fillId="0" borderId="10" xfId="0" applyNumberFormat="1" applyFont="1" applyBorder="1" applyAlignment="1">
      <alignment horizontal="center"/>
    </xf>
    <xf numFmtId="3" fontId="6" fillId="4" borderId="11" xfId="0" applyNumberFormat="1" applyFont="1" applyFill="1" applyBorder="1" applyAlignment="1">
      <alignment horizontal="center"/>
    </xf>
    <xf numFmtId="0" fontId="4" fillId="2" borderId="9" xfId="0" applyFont="1" applyFill="1" applyBorder="1"/>
    <xf numFmtId="164" fontId="7" fillId="0" borderId="10" xfId="0" applyNumberFormat="1" applyFont="1" applyBorder="1" applyAlignment="1">
      <alignment horizontal="center"/>
    </xf>
    <xf numFmtId="3" fontId="8" fillId="4" borderId="11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3" fontId="6" fillId="4" borderId="5" xfId="0" applyNumberFormat="1" applyFont="1" applyFill="1" applyBorder="1" applyAlignment="1">
      <alignment horizontal="center"/>
    </xf>
    <xf numFmtId="0" fontId="5" fillId="2" borderId="13" xfId="0" applyFont="1" applyFill="1" applyBorder="1"/>
    <xf numFmtId="164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38" fontId="6" fillId="4" borderId="8" xfId="0" applyNumberFormat="1" applyFont="1" applyFill="1" applyBorder="1" applyAlignment="1">
      <alignment horizontal="center"/>
    </xf>
    <xf numFmtId="165" fontId="3" fillId="0" borderId="0" xfId="0" applyNumberFormat="1" applyFont="1"/>
    <xf numFmtId="166" fontId="4" fillId="3" borderId="7" xfId="0" applyNumberFormat="1" applyFont="1" applyFill="1" applyBorder="1" applyAlignment="1">
      <alignment horizontal="center"/>
    </xf>
    <xf numFmtId="166" fontId="4" fillId="3" borderId="8" xfId="0" applyNumberFormat="1" applyFont="1" applyFill="1" applyBorder="1" applyAlignment="1">
      <alignment horizontal="center"/>
    </xf>
    <xf numFmtId="0" fontId="4" fillId="2" borderId="15" xfId="0" applyFont="1" applyFill="1" applyBorder="1"/>
    <xf numFmtId="164" fontId="6" fillId="0" borderId="16" xfId="0" applyNumberFormat="1" applyFont="1" applyBorder="1" applyAlignment="1">
      <alignment horizontal="center"/>
    </xf>
    <xf numFmtId="3" fontId="6" fillId="4" borderId="17" xfId="0" applyNumberFormat="1" applyFont="1" applyFill="1" applyBorder="1" applyAlignment="1">
      <alignment horizontal="center"/>
    </xf>
    <xf numFmtId="0" fontId="4" fillId="2" borderId="13" xfId="0" applyFont="1" applyFill="1" applyBorder="1"/>
    <xf numFmtId="164" fontId="7" fillId="0" borderId="6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3" fillId="0" borderId="0" xfId="0" applyNumberFormat="1" applyFont="1"/>
    <xf numFmtId="3" fontId="3" fillId="0" borderId="0" xfId="0" applyNumberFormat="1" applyFont="1"/>
    <xf numFmtId="0" fontId="4" fillId="2" borderId="18" xfId="0" applyFont="1" applyFill="1" applyBorder="1"/>
    <xf numFmtId="164" fontId="4" fillId="3" borderId="6" xfId="0" applyNumberFormat="1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3" fontId="7" fillId="4" borderId="5" xfId="0" applyNumberFormat="1" applyFont="1" applyFill="1" applyBorder="1" applyAlignment="1">
      <alignment horizontal="center"/>
    </xf>
    <xf numFmtId="10" fontId="6" fillId="0" borderId="6" xfId="0" applyNumberFormat="1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10" fontId="3" fillId="4" borderId="8" xfId="0" applyNumberFormat="1" applyFont="1" applyFill="1" applyBorder="1"/>
    <xf numFmtId="0" fontId="3" fillId="0" borderId="19" xfId="0" applyFont="1" applyBorder="1"/>
    <xf numFmtId="10" fontId="5" fillId="2" borderId="13" xfId="0" applyNumberFormat="1" applyFont="1" applyFill="1" applyBorder="1"/>
    <xf numFmtId="0" fontId="4" fillId="2" borderId="20" xfId="0" applyFont="1" applyFill="1" applyBorder="1"/>
    <xf numFmtId="10" fontId="6" fillId="0" borderId="21" xfId="0" applyNumberFormat="1" applyFont="1" applyBorder="1" applyAlignment="1">
      <alignment horizontal="center"/>
    </xf>
    <xf numFmtId="10" fontId="3" fillId="4" borderId="22" xfId="0" applyNumberFormat="1" applyFont="1" applyFill="1" applyBorder="1"/>
    <xf numFmtId="10" fontId="6" fillId="0" borderId="14" xfId="0" applyNumberFormat="1" applyFont="1" applyBorder="1" applyAlignment="1">
      <alignment horizontal="center"/>
    </xf>
    <xf numFmtId="10" fontId="6" fillId="0" borderId="23" xfId="0" applyNumberFormat="1" applyFont="1" applyBorder="1" applyAlignment="1">
      <alignment horizontal="center"/>
    </xf>
    <xf numFmtId="0" fontId="1" fillId="0" borderId="13" xfId="0" applyFont="1" applyBorder="1"/>
    <xf numFmtId="0" fontId="3" fillId="0" borderId="21" xfId="0" applyFont="1" applyBorder="1"/>
    <xf numFmtId="0" fontId="3" fillId="0" borderId="22" xfId="0" applyFont="1" applyBorder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right"/>
    </xf>
    <xf numFmtId="3" fontId="3" fillId="0" borderId="14" xfId="0" applyNumberFormat="1" applyFont="1" applyBorder="1" applyAlignment="1">
      <alignment horizontal="center"/>
    </xf>
    <xf numFmtId="0" fontId="9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Spending Balance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'Family Budget Worksheet Templat'!$C$25</c:f>
              <c:strCache>
                <c:ptCount val="1"/>
                <c:pt idx="0">
                  <c:v>Spending Balance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'Family Budget Worksheet Templat'!$D$25:$Q$25</c:f>
              <c:numCache>
                <c:formatCode>_("$"* #,##0.00_);_("$"* \(#,##0.00\);_("$"* "-"??_);_(@_)</c:formatCode>
                <c:ptCount val="14"/>
                <c:pt idx="0">
                  <c:v>3625</c:v>
                </c:pt>
                <c:pt idx="1">
                  <c:v>7750</c:v>
                </c:pt>
                <c:pt idx="2">
                  <c:v>5150</c:v>
                </c:pt>
                <c:pt idx="3">
                  <c:v>4225</c:v>
                </c:pt>
                <c:pt idx="4">
                  <c:v>-9850</c:v>
                </c:pt>
                <c:pt idx="5">
                  <c:v>550</c:v>
                </c:pt>
                <c:pt idx="6">
                  <c:v>-3661</c:v>
                </c:pt>
                <c:pt idx="7">
                  <c:v>6250</c:v>
                </c:pt>
                <c:pt idx="8">
                  <c:v>6950</c:v>
                </c:pt>
                <c:pt idx="9">
                  <c:v>5675</c:v>
                </c:pt>
                <c:pt idx="10">
                  <c:v>6994</c:v>
                </c:pt>
                <c:pt idx="11">
                  <c:v>-1606</c:v>
                </c:pt>
                <c:pt idx="12">
                  <c:v>30052</c:v>
                </c:pt>
                <c:pt idx="13" formatCode="#,##0">
                  <c:v>2504.3333333333335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F92-4E1B-A00C-128C9AA5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2715762"/>
        <c:axId val="918146555"/>
        <c:axId val="0"/>
      </c:bar3DChart>
      <c:catAx>
        <c:axId val="1712715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8146555"/>
        <c:crosses val="autoZero"/>
        <c:auto val="1"/>
        <c:lblAlgn val="ctr"/>
        <c:lblOffset val="100"/>
        <c:noMultiLvlLbl val="1"/>
      </c:catAx>
      <c:valAx>
        <c:axId val="91814655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27157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Savings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'Family Budget Worksheet Templat'!$D$26:$O$26</c:f>
              <c:numCache>
                <c:formatCode>_("$"* #,##0.00_);_("$"* \(#,##0.00\);_("$"* "-"??_);_(@_)</c:formatCode>
                <c:ptCount val="12"/>
                <c:pt idx="0">
                  <c:v>3500</c:v>
                </c:pt>
                <c:pt idx="1">
                  <c:v>3500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3-4833-B174-58FAC747D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427411"/>
        <c:axId val="378784541"/>
      </c:lineChart>
      <c:catAx>
        <c:axId val="1497427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8784541"/>
        <c:crosses val="autoZero"/>
        <c:auto val="1"/>
        <c:lblAlgn val="ctr"/>
        <c:lblOffset val="100"/>
        <c:noMultiLvlLbl val="1"/>
      </c:catAx>
      <c:valAx>
        <c:axId val="37878454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742741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</xdr:colOff>
      <xdr:row>2</xdr:row>
      <xdr:rowOff>792480</xdr:rowOff>
    </xdr:from>
    <xdr:ext cx="6964680" cy="270129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266701</xdr:colOff>
      <xdr:row>2</xdr:row>
      <xdr:rowOff>800100</xdr:rowOff>
    </xdr:from>
    <xdr:ext cx="6644639" cy="267462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0675" cy="4191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S159"/>
  <sheetViews>
    <sheetView showGridLines="0" tabSelected="1" topLeftCell="A121" workbookViewId="0">
      <selection activeCell="A3" sqref="A3"/>
    </sheetView>
  </sheetViews>
  <sheetFormatPr defaultColWidth="12.6640625" defaultRowHeight="15.75" customHeight="1"/>
  <cols>
    <col min="1" max="2" width="3.21875" customWidth="1"/>
    <col min="3" max="3" width="23.109375" customWidth="1"/>
    <col min="18" max="19" width="3.21875" customWidth="1"/>
  </cols>
  <sheetData>
    <row r="2" spans="2:19" ht="13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2:19" ht="63.75" customHeight="1">
      <c r="B3" s="4"/>
      <c r="C3" s="54" t="s">
        <v>0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"/>
      <c r="S3" s="6"/>
    </row>
    <row r="4" spans="2:19" ht="14.4">
      <c r="B4" s="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5"/>
      <c r="S4" s="6"/>
    </row>
    <row r="5" spans="2:19" ht="14.4">
      <c r="B5" s="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5"/>
      <c r="S5" s="6"/>
    </row>
    <row r="6" spans="2:19" ht="14.4">
      <c r="B6" s="4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  <c r="S6" s="6"/>
    </row>
    <row r="7" spans="2:19" ht="14.4">
      <c r="B7" s="4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5"/>
      <c r="S7" s="6"/>
    </row>
    <row r="8" spans="2:19" ht="14.4"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5"/>
      <c r="S8" s="6"/>
    </row>
    <row r="9" spans="2:19" ht="14.4">
      <c r="B9" s="4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5"/>
      <c r="S9" s="6"/>
    </row>
    <row r="10" spans="2:19" ht="14.4">
      <c r="B10" s="4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5"/>
      <c r="S10" s="6"/>
    </row>
    <row r="11" spans="2:19" ht="14.4">
      <c r="B11" s="4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5"/>
      <c r="S11" s="6"/>
    </row>
    <row r="12" spans="2:19" ht="14.4">
      <c r="B12" s="4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5"/>
      <c r="S12" s="6"/>
    </row>
    <row r="13" spans="2:19" ht="14.4">
      <c r="B13" s="4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5"/>
      <c r="S13" s="6"/>
    </row>
    <row r="14" spans="2:19" ht="14.4">
      <c r="B14" s="4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5"/>
      <c r="S14" s="6"/>
    </row>
    <row r="15" spans="2:19" ht="14.4">
      <c r="B15" s="4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5"/>
      <c r="S15" s="6"/>
    </row>
    <row r="16" spans="2:19" ht="14.4">
      <c r="B16" s="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"/>
      <c r="S16" s="6"/>
    </row>
    <row r="17" spans="2:19" ht="14.4"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5"/>
      <c r="S17" s="6"/>
    </row>
    <row r="18" spans="2:19" ht="14.4">
      <c r="B18" s="4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5"/>
      <c r="S18" s="6"/>
    </row>
    <row r="19" spans="2:19" ht="14.4">
      <c r="B19" s="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"/>
      <c r="S19" s="6"/>
    </row>
    <row r="20" spans="2:19" ht="14.4">
      <c r="B20" s="4"/>
      <c r="C20" s="7" t="s">
        <v>1</v>
      </c>
      <c r="D20" s="8" t="s">
        <v>2</v>
      </c>
      <c r="E20" s="8" t="s">
        <v>3</v>
      </c>
      <c r="F20" s="8" t="s">
        <v>4</v>
      </c>
      <c r="G20" s="8" t="s">
        <v>5</v>
      </c>
      <c r="H20" s="8" t="s">
        <v>6</v>
      </c>
      <c r="I20" s="8" t="s">
        <v>7</v>
      </c>
      <c r="J20" s="8" t="s">
        <v>8</v>
      </c>
      <c r="K20" s="8" t="s">
        <v>9</v>
      </c>
      <c r="L20" s="8" t="s">
        <v>10</v>
      </c>
      <c r="M20" s="8" t="s">
        <v>11</v>
      </c>
      <c r="N20" s="8" t="s">
        <v>12</v>
      </c>
      <c r="O20" s="8" t="s">
        <v>13</v>
      </c>
      <c r="P20" s="8" t="s">
        <v>14</v>
      </c>
      <c r="Q20" s="9" t="s">
        <v>15</v>
      </c>
      <c r="R20" s="5"/>
      <c r="S20" s="6"/>
    </row>
    <row r="21" spans="2:19" ht="14.4">
      <c r="B21" s="4"/>
      <c r="C21" s="10" t="s">
        <v>16</v>
      </c>
      <c r="D21" s="11">
        <f t="shared" ref="D21:P21" si="0">D37</f>
        <v>28000</v>
      </c>
      <c r="E21" s="11">
        <f t="shared" si="0"/>
        <v>28000</v>
      </c>
      <c r="F21" s="11">
        <f t="shared" si="0"/>
        <v>28000</v>
      </c>
      <c r="G21" s="11">
        <f t="shared" si="0"/>
        <v>28000</v>
      </c>
      <c r="H21" s="11">
        <f t="shared" si="0"/>
        <v>28000</v>
      </c>
      <c r="I21" s="11">
        <f t="shared" si="0"/>
        <v>28000</v>
      </c>
      <c r="J21" s="11">
        <f t="shared" si="0"/>
        <v>28000</v>
      </c>
      <c r="K21" s="11">
        <f t="shared" si="0"/>
        <v>28000</v>
      </c>
      <c r="L21" s="11">
        <f t="shared" si="0"/>
        <v>28000</v>
      </c>
      <c r="M21" s="11">
        <f t="shared" si="0"/>
        <v>28000</v>
      </c>
      <c r="N21" s="11">
        <f t="shared" si="0"/>
        <v>28000</v>
      </c>
      <c r="O21" s="11">
        <f t="shared" si="0"/>
        <v>28000</v>
      </c>
      <c r="P21" s="11">
        <f t="shared" si="0"/>
        <v>336000</v>
      </c>
      <c r="Q21" s="12">
        <f t="shared" ref="Q21:Q25" si="1">P21/COLUMNS(D21:O21)</f>
        <v>28000</v>
      </c>
      <c r="R21" s="5"/>
      <c r="S21" s="6"/>
    </row>
    <row r="22" spans="2:19" ht="14.4">
      <c r="B22" s="4"/>
      <c r="C22" s="10" t="s">
        <v>17</v>
      </c>
      <c r="D22" s="11">
        <f t="shared" ref="D22:P22" si="2">D60+D70+D78+D87+D95+D102+D109+D122+D130+D139+D149+D156</f>
        <v>25375</v>
      </c>
      <c r="E22" s="11">
        <f t="shared" si="2"/>
        <v>20250</v>
      </c>
      <c r="F22" s="11">
        <f t="shared" si="2"/>
        <v>22850</v>
      </c>
      <c r="G22" s="11">
        <f t="shared" si="2"/>
        <v>23775</v>
      </c>
      <c r="H22" s="11">
        <f t="shared" si="2"/>
        <v>38850</v>
      </c>
      <c r="I22" s="11">
        <f t="shared" si="2"/>
        <v>27450</v>
      </c>
      <c r="J22" s="11">
        <f t="shared" si="2"/>
        <v>31661</v>
      </c>
      <c r="K22" s="11">
        <f t="shared" si="2"/>
        <v>21750</v>
      </c>
      <c r="L22" s="11">
        <f t="shared" si="2"/>
        <v>21050</v>
      </c>
      <c r="M22" s="11">
        <f t="shared" si="2"/>
        <v>22325</v>
      </c>
      <c r="N22" s="11">
        <f t="shared" si="2"/>
        <v>21006</v>
      </c>
      <c r="O22" s="11">
        <f t="shared" si="2"/>
        <v>29606</v>
      </c>
      <c r="P22" s="11">
        <f t="shared" si="2"/>
        <v>305948</v>
      </c>
      <c r="Q22" s="12">
        <f t="shared" si="1"/>
        <v>25495.666666666668</v>
      </c>
      <c r="R22" s="5"/>
      <c r="S22" s="6"/>
    </row>
    <row r="23" spans="2:19" ht="14.4">
      <c r="B23" s="4"/>
      <c r="C23" s="13" t="s">
        <v>18</v>
      </c>
      <c r="D23" s="14">
        <f t="shared" ref="D23:P23" si="3">D21-D22</f>
        <v>2625</v>
      </c>
      <c r="E23" s="14">
        <f t="shared" si="3"/>
        <v>7750</v>
      </c>
      <c r="F23" s="14">
        <f t="shared" si="3"/>
        <v>5150</v>
      </c>
      <c r="G23" s="14">
        <f t="shared" si="3"/>
        <v>4225</v>
      </c>
      <c r="H23" s="14">
        <f t="shared" si="3"/>
        <v>-10850</v>
      </c>
      <c r="I23" s="14">
        <f t="shared" si="3"/>
        <v>550</v>
      </c>
      <c r="J23" s="14">
        <f t="shared" si="3"/>
        <v>-3661</v>
      </c>
      <c r="K23" s="14">
        <f t="shared" si="3"/>
        <v>6250</v>
      </c>
      <c r="L23" s="14">
        <f t="shared" si="3"/>
        <v>6950</v>
      </c>
      <c r="M23" s="14">
        <f t="shared" si="3"/>
        <v>5675</v>
      </c>
      <c r="N23" s="14">
        <f t="shared" si="3"/>
        <v>6994</v>
      </c>
      <c r="O23" s="14">
        <f t="shared" si="3"/>
        <v>-1606</v>
      </c>
      <c r="P23" s="14">
        <f t="shared" si="3"/>
        <v>30052</v>
      </c>
      <c r="Q23" s="15">
        <f t="shared" si="1"/>
        <v>2504.3333333333335</v>
      </c>
      <c r="R23" s="5"/>
      <c r="S23" s="6"/>
    </row>
    <row r="24" spans="2:19" ht="14.4">
      <c r="B24" s="4"/>
      <c r="C24" s="10" t="s">
        <v>19</v>
      </c>
      <c r="D24" s="11"/>
      <c r="E24" s="11">
        <v>1000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f>SUM(D24:O24)</f>
        <v>1000</v>
      </c>
      <c r="Q24" s="12">
        <f t="shared" si="1"/>
        <v>83.333333333333329</v>
      </c>
      <c r="R24" s="5"/>
      <c r="S24" s="6"/>
    </row>
    <row r="25" spans="2:19" ht="14.4">
      <c r="B25" s="4"/>
      <c r="C25" s="16" t="s">
        <v>20</v>
      </c>
      <c r="D25" s="17">
        <f t="shared" ref="D25:G25" si="4">D21-D22+P28</f>
        <v>3625</v>
      </c>
      <c r="E25" s="17">
        <f t="shared" si="4"/>
        <v>7750</v>
      </c>
      <c r="F25" s="17">
        <f t="shared" si="4"/>
        <v>5150</v>
      </c>
      <c r="G25" s="17">
        <f t="shared" si="4"/>
        <v>4225</v>
      </c>
      <c r="H25" s="17">
        <f t="shared" ref="H25:P25" si="5">H21-H22+P28</f>
        <v>-9850</v>
      </c>
      <c r="I25" s="17">
        <f t="shared" si="5"/>
        <v>550</v>
      </c>
      <c r="J25" s="17">
        <f t="shared" si="5"/>
        <v>-3661</v>
      </c>
      <c r="K25" s="17">
        <f t="shared" si="5"/>
        <v>6250</v>
      </c>
      <c r="L25" s="17">
        <f t="shared" si="5"/>
        <v>6950</v>
      </c>
      <c r="M25" s="17">
        <f t="shared" si="5"/>
        <v>5675</v>
      </c>
      <c r="N25" s="17">
        <f t="shared" si="5"/>
        <v>6994</v>
      </c>
      <c r="O25" s="17">
        <f t="shared" si="5"/>
        <v>-1606</v>
      </c>
      <c r="P25" s="17">
        <f t="shared" si="5"/>
        <v>30052</v>
      </c>
      <c r="Q25" s="18">
        <f t="shared" si="1"/>
        <v>2504.3333333333335</v>
      </c>
      <c r="R25" s="5"/>
      <c r="S25" s="6"/>
    </row>
    <row r="26" spans="2:19" ht="14.4">
      <c r="B26" s="4"/>
      <c r="C26" s="19" t="s">
        <v>21</v>
      </c>
      <c r="D26" s="20">
        <f t="shared" ref="D26:F26" si="6">D46+P28-D41+D24</f>
        <v>3500</v>
      </c>
      <c r="E26" s="21">
        <f t="shared" si="6"/>
        <v>3500</v>
      </c>
      <c r="F26" s="21">
        <f t="shared" si="6"/>
        <v>2500</v>
      </c>
      <c r="G26" s="21">
        <f t="shared" ref="G26:P26" si="7">G46+S28-G41</f>
        <v>2500</v>
      </c>
      <c r="H26" s="21">
        <f t="shared" si="7"/>
        <v>2500</v>
      </c>
      <c r="I26" s="21">
        <f t="shared" si="7"/>
        <v>2500</v>
      </c>
      <c r="J26" s="21">
        <f t="shared" si="7"/>
        <v>2500</v>
      </c>
      <c r="K26" s="21">
        <f t="shared" si="7"/>
        <v>2500</v>
      </c>
      <c r="L26" s="21">
        <f t="shared" si="7"/>
        <v>2500</v>
      </c>
      <c r="M26" s="21">
        <f t="shared" si="7"/>
        <v>2500</v>
      </c>
      <c r="N26" s="21">
        <f t="shared" si="7"/>
        <v>2500</v>
      </c>
      <c r="O26" s="21">
        <f t="shared" si="7"/>
        <v>2500</v>
      </c>
      <c r="P26" s="21">
        <f t="shared" si="7"/>
        <v>30000</v>
      </c>
      <c r="Q26" s="22">
        <f>Q46+T28-Q41+Q24</f>
        <v>2583.3333333333335</v>
      </c>
      <c r="R26" s="5"/>
      <c r="S26" s="6"/>
    </row>
    <row r="27" spans="2:19" ht="14.4">
      <c r="B27" s="4"/>
      <c r="C27" s="6"/>
      <c r="D27" s="6"/>
      <c r="E27" s="6"/>
      <c r="F27" s="6"/>
      <c r="G27" s="23"/>
      <c r="H27" s="23"/>
      <c r="I27" s="23"/>
      <c r="J27" s="6"/>
      <c r="K27" s="6"/>
      <c r="L27" s="6"/>
      <c r="M27" s="6"/>
      <c r="N27" s="6"/>
      <c r="O27" s="6"/>
      <c r="P27" s="6"/>
      <c r="Q27" s="6"/>
      <c r="R27" s="5"/>
      <c r="S27" s="6"/>
    </row>
    <row r="28" spans="2:19" ht="14.4">
      <c r="B28" s="4"/>
      <c r="C28" s="6"/>
      <c r="D28" s="6"/>
      <c r="E28" s="6"/>
      <c r="F28" s="6"/>
      <c r="G28" s="6"/>
      <c r="H28" s="6"/>
      <c r="I28" s="6"/>
      <c r="J28" s="56" t="s">
        <v>22</v>
      </c>
      <c r="K28" s="55"/>
      <c r="L28" s="55"/>
      <c r="M28" s="55"/>
      <c r="N28" s="55"/>
      <c r="O28" s="55"/>
      <c r="P28" s="57">
        <v>1000</v>
      </c>
      <c r="Q28" s="58"/>
      <c r="R28" s="5"/>
      <c r="S28" s="6"/>
    </row>
    <row r="29" spans="2:19" ht="14.4">
      <c r="B29" s="4"/>
      <c r="C29" s="6"/>
      <c r="D29" s="6"/>
      <c r="E29" s="6"/>
      <c r="F29" s="6"/>
      <c r="G29" s="6"/>
      <c r="H29" s="6"/>
      <c r="I29" s="6"/>
      <c r="J29" s="56" t="s">
        <v>23</v>
      </c>
      <c r="K29" s="55"/>
      <c r="L29" s="55"/>
      <c r="M29" s="55"/>
      <c r="N29" s="55"/>
      <c r="O29" s="55"/>
      <c r="P29" s="57">
        <v>1000</v>
      </c>
      <c r="Q29" s="58"/>
      <c r="R29" s="5"/>
      <c r="S29" s="6"/>
    </row>
    <row r="30" spans="2:19" ht="14.4">
      <c r="B30" s="4"/>
      <c r="C30" s="6"/>
      <c r="D30" s="6"/>
      <c r="E30" s="6"/>
      <c r="F30" s="6"/>
      <c r="G30" s="23"/>
      <c r="H30" s="23"/>
      <c r="I30" s="23"/>
      <c r="J30" s="6"/>
      <c r="K30" s="6"/>
      <c r="L30" s="6"/>
      <c r="M30" s="6"/>
      <c r="N30" s="6"/>
      <c r="O30" s="6"/>
      <c r="P30" s="6"/>
      <c r="Q30" s="6"/>
      <c r="R30" s="5"/>
      <c r="S30" s="6"/>
    </row>
    <row r="31" spans="2:19" ht="14.4">
      <c r="B31" s="4"/>
      <c r="C31" s="7" t="s">
        <v>24</v>
      </c>
      <c r="D31" s="8" t="s">
        <v>2</v>
      </c>
      <c r="E31" s="8" t="s">
        <v>3</v>
      </c>
      <c r="F31" s="8" t="s">
        <v>4</v>
      </c>
      <c r="G31" s="8" t="s">
        <v>5</v>
      </c>
      <c r="H31" s="8" t="s">
        <v>6</v>
      </c>
      <c r="I31" s="8" t="s">
        <v>7</v>
      </c>
      <c r="J31" s="8" t="s">
        <v>8</v>
      </c>
      <c r="K31" s="8" t="s">
        <v>9</v>
      </c>
      <c r="L31" s="8" t="s">
        <v>10</v>
      </c>
      <c r="M31" s="8" t="s">
        <v>11</v>
      </c>
      <c r="N31" s="8" t="s">
        <v>12</v>
      </c>
      <c r="O31" s="8" t="s">
        <v>13</v>
      </c>
      <c r="P31" s="24" t="s">
        <v>25</v>
      </c>
      <c r="Q31" s="25" t="s">
        <v>26</v>
      </c>
      <c r="R31" s="5"/>
      <c r="S31" s="6"/>
    </row>
    <row r="32" spans="2:19" ht="14.4">
      <c r="B32" s="4"/>
      <c r="C32" s="26" t="s">
        <v>27</v>
      </c>
      <c r="D32" s="27">
        <v>25000</v>
      </c>
      <c r="E32" s="27">
        <v>25000</v>
      </c>
      <c r="F32" s="27">
        <v>25000</v>
      </c>
      <c r="G32" s="27">
        <v>25000</v>
      </c>
      <c r="H32" s="27">
        <v>25000</v>
      </c>
      <c r="I32" s="27">
        <v>25000</v>
      </c>
      <c r="J32" s="27">
        <v>25000</v>
      </c>
      <c r="K32" s="27">
        <v>25000</v>
      </c>
      <c r="L32" s="27">
        <v>25000</v>
      </c>
      <c r="M32" s="27">
        <v>25000</v>
      </c>
      <c r="N32" s="27">
        <v>25000</v>
      </c>
      <c r="O32" s="27">
        <v>25000</v>
      </c>
      <c r="P32" s="27">
        <f t="shared" ref="P32:P33" si="8">SUM(D32:O32)</f>
        <v>300000</v>
      </c>
      <c r="Q32" s="28">
        <f t="shared" ref="Q32:Q33" si="9">P32/COLUMNS(D32:O32)</f>
        <v>25000</v>
      </c>
      <c r="R32" s="5"/>
      <c r="S32" s="6"/>
    </row>
    <row r="33" spans="2:19" ht="14.4">
      <c r="B33" s="4"/>
      <c r="C33" s="13" t="s">
        <v>28</v>
      </c>
      <c r="D33" s="11">
        <v>3000</v>
      </c>
      <c r="E33" s="11">
        <v>3000</v>
      </c>
      <c r="F33" s="11">
        <v>3000</v>
      </c>
      <c r="G33" s="11">
        <v>3000</v>
      </c>
      <c r="H33" s="11">
        <v>3000</v>
      </c>
      <c r="I33" s="11">
        <v>3000</v>
      </c>
      <c r="J33" s="11">
        <v>3000</v>
      </c>
      <c r="K33" s="11">
        <v>3000</v>
      </c>
      <c r="L33" s="11">
        <v>3000</v>
      </c>
      <c r="M33" s="11">
        <v>3000</v>
      </c>
      <c r="N33" s="11">
        <v>3000</v>
      </c>
      <c r="O33" s="11">
        <v>3000</v>
      </c>
      <c r="P33" s="11">
        <f t="shared" si="8"/>
        <v>36000</v>
      </c>
      <c r="Q33" s="12">
        <f t="shared" si="9"/>
        <v>3000</v>
      </c>
      <c r="R33" s="5"/>
      <c r="S33" s="6"/>
    </row>
    <row r="34" spans="2:19" ht="14.4">
      <c r="B34" s="4"/>
      <c r="C34" s="13" t="s">
        <v>29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5"/>
      <c r="S34" s="6"/>
    </row>
    <row r="35" spans="2:19" ht="14.4">
      <c r="B35" s="4"/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5"/>
      <c r="S35" s="6"/>
    </row>
    <row r="36" spans="2:19" ht="14.4">
      <c r="B36" s="4"/>
      <c r="C36" s="1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8"/>
      <c r="R36" s="5"/>
      <c r="S36" s="6"/>
    </row>
    <row r="37" spans="2:19" ht="14.4">
      <c r="B37" s="4"/>
      <c r="C37" s="29" t="s">
        <v>16</v>
      </c>
      <c r="D37" s="30">
        <f t="shared" ref="D37:Q37" si="10">SUM(D32:D36)</f>
        <v>28000</v>
      </c>
      <c r="E37" s="31">
        <f t="shared" si="10"/>
        <v>28000</v>
      </c>
      <c r="F37" s="31">
        <f t="shared" si="10"/>
        <v>28000</v>
      </c>
      <c r="G37" s="31">
        <f t="shared" si="10"/>
        <v>28000</v>
      </c>
      <c r="H37" s="31">
        <f t="shared" si="10"/>
        <v>28000</v>
      </c>
      <c r="I37" s="31">
        <f t="shared" si="10"/>
        <v>28000</v>
      </c>
      <c r="J37" s="31">
        <f t="shared" si="10"/>
        <v>28000</v>
      </c>
      <c r="K37" s="31">
        <f t="shared" si="10"/>
        <v>28000</v>
      </c>
      <c r="L37" s="31">
        <f t="shared" si="10"/>
        <v>28000</v>
      </c>
      <c r="M37" s="31">
        <f t="shared" si="10"/>
        <v>28000</v>
      </c>
      <c r="N37" s="31">
        <f t="shared" si="10"/>
        <v>28000</v>
      </c>
      <c r="O37" s="31">
        <f t="shared" si="10"/>
        <v>28000</v>
      </c>
      <c r="P37" s="31">
        <f t="shared" si="10"/>
        <v>336000</v>
      </c>
      <c r="Q37" s="32">
        <f t="shared" si="10"/>
        <v>28000</v>
      </c>
      <c r="R37" s="5"/>
      <c r="S37" s="6"/>
    </row>
    <row r="38" spans="2:19" ht="14.4">
      <c r="B38" s="4"/>
      <c r="C38" s="6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5"/>
      <c r="S38" s="6"/>
    </row>
    <row r="39" spans="2:19" ht="14.4">
      <c r="B39" s="4"/>
      <c r="C39" s="35" t="s">
        <v>30</v>
      </c>
      <c r="D39" s="36" t="s">
        <v>2</v>
      </c>
      <c r="E39" s="37" t="s">
        <v>3</v>
      </c>
      <c r="F39" s="37" t="s">
        <v>4</v>
      </c>
      <c r="G39" s="37" t="s">
        <v>5</v>
      </c>
      <c r="H39" s="37" t="s">
        <v>6</v>
      </c>
      <c r="I39" s="37" t="s">
        <v>7</v>
      </c>
      <c r="J39" s="37" t="s">
        <v>8</v>
      </c>
      <c r="K39" s="37" t="s">
        <v>9</v>
      </c>
      <c r="L39" s="37" t="s">
        <v>10</v>
      </c>
      <c r="M39" s="37" t="s">
        <v>11</v>
      </c>
      <c r="N39" s="37" t="s">
        <v>12</v>
      </c>
      <c r="O39" s="37" t="s">
        <v>13</v>
      </c>
      <c r="P39" s="37" t="s">
        <v>25</v>
      </c>
      <c r="Q39" s="25" t="s">
        <v>26</v>
      </c>
      <c r="R39" s="5"/>
      <c r="S39" s="6"/>
    </row>
    <row r="40" spans="2:19" ht="14.4">
      <c r="B40" s="4"/>
      <c r="C40" s="10" t="s">
        <v>31</v>
      </c>
      <c r="D40" s="11">
        <v>1000</v>
      </c>
      <c r="E40" s="11">
        <v>1000</v>
      </c>
      <c r="F40" s="11">
        <v>1000</v>
      </c>
      <c r="G40" s="11">
        <v>1000</v>
      </c>
      <c r="H40" s="11">
        <v>1000</v>
      </c>
      <c r="I40" s="11">
        <v>1000</v>
      </c>
      <c r="J40" s="11">
        <v>1000</v>
      </c>
      <c r="K40" s="11">
        <v>1000</v>
      </c>
      <c r="L40" s="11">
        <v>1000</v>
      </c>
      <c r="M40" s="11">
        <v>1000</v>
      </c>
      <c r="N40" s="11">
        <v>1000</v>
      </c>
      <c r="O40" s="11">
        <v>1000</v>
      </c>
      <c r="P40" s="11">
        <f t="shared" ref="P40:P43" si="11">SUM(D40:O40)</f>
        <v>12000</v>
      </c>
      <c r="Q40" s="12">
        <f t="shared" ref="Q40:Q43" si="12">P40/COLUMNS(D40:O40)</f>
        <v>1000</v>
      </c>
      <c r="R40" s="5"/>
      <c r="S40" s="6"/>
    </row>
    <row r="41" spans="2:19" ht="14.4">
      <c r="B41" s="4"/>
      <c r="C41" s="10" t="s">
        <v>32</v>
      </c>
      <c r="D41" s="11">
        <v>2000</v>
      </c>
      <c r="E41" s="11">
        <v>2000</v>
      </c>
      <c r="F41" s="11">
        <v>2000</v>
      </c>
      <c r="G41" s="11">
        <v>2000</v>
      </c>
      <c r="H41" s="11">
        <v>2000</v>
      </c>
      <c r="I41" s="11">
        <v>2000</v>
      </c>
      <c r="J41" s="11">
        <v>2000</v>
      </c>
      <c r="K41" s="11">
        <v>2000</v>
      </c>
      <c r="L41" s="11">
        <v>2000</v>
      </c>
      <c r="M41" s="11">
        <v>2000</v>
      </c>
      <c r="N41" s="11">
        <v>2000</v>
      </c>
      <c r="O41" s="11">
        <v>2000</v>
      </c>
      <c r="P41" s="11">
        <f t="shared" si="11"/>
        <v>24000</v>
      </c>
      <c r="Q41" s="12">
        <f t="shared" si="12"/>
        <v>2000</v>
      </c>
      <c r="R41" s="5"/>
      <c r="S41" s="6"/>
    </row>
    <row r="42" spans="2:19" ht="14.4">
      <c r="B42" s="4"/>
      <c r="C42" s="10" t="s">
        <v>33</v>
      </c>
      <c r="D42" s="11">
        <v>500</v>
      </c>
      <c r="E42" s="11">
        <v>500</v>
      </c>
      <c r="F42" s="11">
        <v>500</v>
      </c>
      <c r="G42" s="11">
        <v>500</v>
      </c>
      <c r="H42" s="11">
        <v>500</v>
      </c>
      <c r="I42" s="11">
        <v>500</v>
      </c>
      <c r="J42" s="11">
        <v>500</v>
      </c>
      <c r="K42" s="11">
        <v>500</v>
      </c>
      <c r="L42" s="11">
        <v>500</v>
      </c>
      <c r="M42" s="11">
        <v>500</v>
      </c>
      <c r="N42" s="11">
        <v>500</v>
      </c>
      <c r="O42" s="11">
        <v>500</v>
      </c>
      <c r="P42" s="11">
        <f t="shared" si="11"/>
        <v>6000</v>
      </c>
      <c r="Q42" s="12">
        <f t="shared" si="12"/>
        <v>500</v>
      </c>
      <c r="R42" s="5"/>
      <c r="S42" s="6"/>
    </row>
    <row r="43" spans="2:19" ht="14.4">
      <c r="B43" s="4"/>
      <c r="C43" s="10" t="s">
        <v>34</v>
      </c>
      <c r="D43" s="11">
        <v>1000</v>
      </c>
      <c r="E43" s="11">
        <v>1000</v>
      </c>
      <c r="F43" s="11">
        <v>1000</v>
      </c>
      <c r="G43" s="11">
        <v>1000</v>
      </c>
      <c r="H43" s="11">
        <v>1000</v>
      </c>
      <c r="I43" s="11">
        <v>1000</v>
      </c>
      <c r="J43" s="11">
        <v>1000</v>
      </c>
      <c r="K43" s="11">
        <v>1000</v>
      </c>
      <c r="L43" s="11">
        <v>1000</v>
      </c>
      <c r="M43" s="11">
        <v>1000</v>
      </c>
      <c r="N43" s="11">
        <v>1000</v>
      </c>
      <c r="O43" s="11">
        <v>1000</v>
      </c>
      <c r="P43" s="11">
        <f t="shared" si="11"/>
        <v>12000</v>
      </c>
      <c r="Q43" s="12">
        <f t="shared" si="12"/>
        <v>1000</v>
      </c>
      <c r="R43" s="5"/>
      <c r="S43" s="6"/>
    </row>
    <row r="44" spans="2:19" ht="14.4">
      <c r="B44" s="4"/>
      <c r="C44" s="10" t="s">
        <v>35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2"/>
      <c r="R44" s="5"/>
      <c r="S44" s="6"/>
    </row>
    <row r="45" spans="2:19" ht="14.4">
      <c r="B45" s="4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2"/>
      <c r="R45" s="5"/>
      <c r="S45" s="6"/>
    </row>
    <row r="46" spans="2:19" ht="14.4">
      <c r="B46" s="4"/>
      <c r="C46" s="13" t="s">
        <v>36</v>
      </c>
      <c r="D46" s="38">
        <f t="shared" ref="D46:Q46" si="13">SUM(D40:D45)</f>
        <v>4500</v>
      </c>
      <c r="E46" s="38">
        <f t="shared" si="13"/>
        <v>4500</v>
      </c>
      <c r="F46" s="38">
        <f t="shared" si="13"/>
        <v>4500</v>
      </c>
      <c r="G46" s="38">
        <f t="shared" si="13"/>
        <v>4500</v>
      </c>
      <c r="H46" s="38">
        <f t="shared" si="13"/>
        <v>4500</v>
      </c>
      <c r="I46" s="38">
        <f t="shared" si="13"/>
        <v>4500</v>
      </c>
      <c r="J46" s="38">
        <f t="shared" si="13"/>
        <v>4500</v>
      </c>
      <c r="K46" s="38">
        <f t="shared" si="13"/>
        <v>4500</v>
      </c>
      <c r="L46" s="38">
        <f t="shared" si="13"/>
        <v>4500</v>
      </c>
      <c r="M46" s="38">
        <f t="shared" si="13"/>
        <v>4500</v>
      </c>
      <c r="N46" s="38">
        <f t="shared" si="13"/>
        <v>4500</v>
      </c>
      <c r="O46" s="38">
        <f t="shared" si="13"/>
        <v>4500</v>
      </c>
      <c r="P46" s="38">
        <f t="shared" si="13"/>
        <v>54000</v>
      </c>
      <c r="Q46" s="39">
        <f t="shared" si="13"/>
        <v>4500</v>
      </c>
      <c r="R46" s="5"/>
      <c r="S46" s="6"/>
    </row>
    <row r="47" spans="2:19" ht="14.4">
      <c r="B47" s="4"/>
      <c r="C47" s="19" t="s">
        <v>37</v>
      </c>
      <c r="D47" s="40">
        <f>D46/P46</f>
        <v>8.3333333333333329E-2</v>
      </c>
      <c r="E47" s="41">
        <f>E46/P46</f>
        <v>8.3333333333333329E-2</v>
      </c>
      <c r="F47" s="41">
        <f>F46/P46</f>
        <v>8.3333333333333329E-2</v>
      </c>
      <c r="G47" s="41">
        <f>G46/P46</f>
        <v>8.3333333333333329E-2</v>
      </c>
      <c r="H47" s="41">
        <f>H46/P46</f>
        <v>8.3333333333333329E-2</v>
      </c>
      <c r="I47" s="41">
        <f>I46/P46</f>
        <v>8.3333333333333329E-2</v>
      </c>
      <c r="J47" s="41">
        <f>J46/P46</f>
        <v>8.3333333333333329E-2</v>
      </c>
      <c r="K47" s="41">
        <f>K46/P46</f>
        <v>8.3333333333333329E-2</v>
      </c>
      <c r="L47" s="41">
        <f>L46/P46</f>
        <v>8.3333333333333329E-2</v>
      </c>
      <c r="M47" s="41">
        <f>M46/P46</f>
        <v>8.3333333333333329E-2</v>
      </c>
      <c r="N47" s="41">
        <f>N46/P46</f>
        <v>8.3333333333333329E-2</v>
      </c>
      <c r="O47" s="41">
        <f>O46/P46</f>
        <v>8.3333333333333329E-2</v>
      </c>
      <c r="P47" s="41">
        <f>P46/P46</f>
        <v>1</v>
      </c>
      <c r="Q47" s="42"/>
      <c r="R47" s="5"/>
      <c r="S47" s="6"/>
    </row>
    <row r="48" spans="2:19" ht="14.4">
      <c r="B48" s="4"/>
      <c r="C48" s="6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6"/>
      <c r="R48" s="5"/>
      <c r="S48" s="6"/>
    </row>
    <row r="49" spans="2:19" ht="14.4">
      <c r="B49" s="4"/>
      <c r="C49" s="35" t="s">
        <v>38</v>
      </c>
      <c r="D49" s="36" t="s">
        <v>2</v>
      </c>
      <c r="E49" s="37" t="s">
        <v>3</v>
      </c>
      <c r="F49" s="37" t="s">
        <v>4</v>
      </c>
      <c r="G49" s="37" t="s">
        <v>5</v>
      </c>
      <c r="H49" s="37" t="s">
        <v>6</v>
      </c>
      <c r="I49" s="37" t="s">
        <v>7</v>
      </c>
      <c r="J49" s="37" t="s">
        <v>8</v>
      </c>
      <c r="K49" s="37" t="s">
        <v>9</v>
      </c>
      <c r="L49" s="37" t="s">
        <v>10</v>
      </c>
      <c r="M49" s="37" t="s">
        <v>11</v>
      </c>
      <c r="N49" s="37" t="s">
        <v>12</v>
      </c>
      <c r="O49" s="37" t="s">
        <v>13</v>
      </c>
      <c r="P49" s="37" t="s">
        <v>25</v>
      </c>
      <c r="Q49" s="25" t="s">
        <v>26</v>
      </c>
      <c r="R49" s="5"/>
      <c r="S49" s="6"/>
    </row>
    <row r="50" spans="2:19" ht="14.4">
      <c r="B50" s="4"/>
      <c r="C50" s="13" t="s">
        <v>39</v>
      </c>
      <c r="D50" s="11">
        <v>3000</v>
      </c>
      <c r="E50" s="11">
        <v>3000</v>
      </c>
      <c r="F50" s="11">
        <v>3000</v>
      </c>
      <c r="G50" s="11">
        <v>3000</v>
      </c>
      <c r="H50" s="11">
        <v>3000</v>
      </c>
      <c r="I50" s="11">
        <v>3000</v>
      </c>
      <c r="J50" s="11">
        <v>3000</v>
      </c>
      <c r="K50" s="11">
        <v>3000</v>
      </c>
      <c r="L50" s="11">
        <v>3000</v>
      </c>
      <c r="M50" s="11">
        <v>3000</v>
      </c>
      <c r="N50" s="11">
        <v>3000</v>
      </c>
      <c r="O50" s="11">
        <v>3000</v>
      </c>
      <c r="P50" s="11">
        <f t="shared" ref="P50:P57" si="14">SUM(D50:O50)</f>
        <v>36000</v>
      </c>
      <c r="Q50" s="12">
        <f t="shared" ref="Q50:Q57" si="15">P50/COLUMNS(D50:O50)</f>
        <v>3000</v>
      </c>
      <c r="R50" s="5"/>
      <c r="S50" s="6"/>
    </row>
    <row r="51" spans="2:19" ht="14.4">
      <c r="B51" s="4"/>
      <c r="C51" s="13" t="s">
        <v>40</v>
      </c>
      <c r="D51" s="11">
        <v>500</v>
      </c>
      <c r="E51" s="11">
        <v>500</v>
      </c>
      <c r="F51" s="11">
        <v>600</v>
      </c>
      <c r="G51" s="11">
        <v>500</v>
      </c>
      <c r="H51" s="11">
        <v>500</v>
      </c>
      <c r="I51" s="11">
        <v>500</v>
      </c>
      <c r="J51" s="11">
        <v>750</v>
      </c>
      <c r="K51" s="11">
        <v>500</v>
      </c>
      <c r="L51" s="11">
        <v>500</v>
      </c>
      <c r="M51" s="11">
        <v>450</v>
      </c>
      <c r="N51" s="11">
        <v>470</v>
      </c>
      <c r="O51" s="11">
        <v>620</v>
      </c>
      <c r="P51" s="11">
        <f t="shared" si="14"/>
        <v>6390</v>
      </c>
      <c r="Q51" s="12">
        <f t="shared" si="15"/>
        <v>532.5</v>
      </c>
      <c r="R51" s="5"/>
      <c r="S51" s="6"/>
    </row>
    <row r="52" spans="2:19" ht="14.4">
      <c r="B52" s="4"/>
      <c r="C52" s="13" t="s">
        <v>41</v>
      </c>
      <c r="D52" s="11">
        <v>625</v>
      </c>
      <c r="E52" s="11"/>
      <c r="F52" s="11"/>
      <c r="G52" s="11">
        <v>625</v>
      </c>
      <c r="H52" s="11"/>
      <c r="I52" s="11"/>
      <c r="J52" s="11">
        <v>625</v>
      </c>
      <c r="K52" s="11"/>
      <c r="L52" s="11"/>
      <c r="M52" s="11">
        <v>625</v>
      </c>
      <c r="N52" s="11"/>
      <c r="O52" s="11"/>
      <c r="P52" s="11">
        <f t="shared" si="14"/>
        <v>2500</v>
      </c>
      <c r="Q52" s="12">
        <f t="shared" si="15"/>
        <v>208.33333333333334</v>
      </c>
      <c r="R52" s="5"/>
      <c r="S52" s="6"/>
    </row>
    <row r="53" spans="2:19" ht="14.4">
      <c r="B53" s="4"/>
      <c r="C53" s="13" t="s">
        <v>42</v>
      </c>
      <c r="D53" s="11">
        <v>150</v>
      </c>
      <c r="E53" s="11">
        <v>150</v>
      </c>
      <c r="F53" s="11">
        <v>150</v>
      </c>
      <c r="G53" s="11">
        <v>150</v>
      </c>
      <c r="H53" s="11">
        <v>150</v>
      </c>
      <c r="I53" s="11">
        <v>150</v>
      </c>
      <c r="J53" s="11">
        <v>150</v>
      </c>
      <c r="K53" s="11">
        <v>150</v>
      </c>
      <c r="L53" s="11">
        <v>150</v>
      </c>
      <c r="M53" s="11">
        <v>150</v>
      </c>
      <c r="N53" s="11">
        <v>150</v>
      </c>
      <c r="O53" s="11">
        <v>150</v>
      </c>
      <c r="P53" s="11">
        <f t="shared" si="14"/>
        <v>1800</v>
      </c>
      <c r="Q53" s="12">
        <f t="shared" si="15"/>
        <v>150</v>
      </c>
      <c r="R53" s="5"/>
      <c r="S53" s="6"/>
    </row>
    <row r="54" spans="2:19" ht="14.4">
      <c r="B54" s="4"/>
      <c r="C54" s="13" t="s">
        <v>43</v>
      </c>
      <c r="D54" s="11">
        <v>150</v>
      </c>
      <c r="E54" s="11">
        <v>150</v>
      </c>
      <c r="F54" s="11">
        <v>150</v>
      </c>
      <c r="G54" s="11">
        <v>150</v>
      </c>
      <c r="H54" s="11">
        <v>150</v>
      </c>
      <c r="I54" s="11">
        <v>150</v>
      </c>
      <c r="J54" s="11">
        <v>150</v>
      </c>
      <c r="K54" s="11">
        <v>150</v>
      </c>
      <c r="L54" s="11">
        <v>150</v>
      </c>
      <c r="M54" s="11">
        <v>150</v>
      </c>
      <c r="N54" s="11">
        <v>150</v>
      </c>
      <c r="O54" s="11">
        <v>150</v>
      </c>
      <c r="P54" s="11">
        <f t="shared" si="14"/>
        <v>1800</v>
      </c>
      <c r="Q54" s="12">
        <f t="shared" si="15"/>
        <v>150</v>
      </c>
      <c r="R54" s="5"/>
      <c r="S54" s="6"/>
    </row>
    <row r="55" spans="2:19" ht="14.4">
      <c r="B55" s="4"/>
      <c r="C55" s="13" t="s">
        <v>44</v>
      </c>
      <c r="D55" s="11">
        <v>300</v>
      </c>
      <c r="E55" s="11">
        <v>300</v>
      </c>
      <c r="F55" s="11">
        <v>300</v>
      </c>
      <c r="G55" s="11">
        <v>300</v>
      </c>
      <c r="H55" s="11">
        <v>300</v>
      </c>
      <c r="I55" s="11">
        <v>300</v>
      </c>
      <c r="J55" s="11">
        <v>300</v>
      </c>
      <c r="K55" s="11">
        <v>300</v>
      </c>
      <c r="L55" s="11">
        <v>300</v>
      </c>
      <c r="M55" s="11">
        <v>300</v>
      </c>
      <c r="N55" s="11">
        <v>300</v>
      </c>
      <c r="O55" s="11">
        <v>300</v>
      </c>
      <c r="P55" s="11">
        <f t="shared" si="14"/>
        <v>3600</v>
      </c>
      <c r="Q55" s="12">
        <f t="shared" si="15"/>
        <v>300</v>
      </c>
      <c r="R55" s="5"/>
      <c r="S55" s="6"/>
    </row>
    <row r="56" spans="2:19" ht="14.4">
      <c r="B56" s="4"/>
      <c r="C56" s="13" t="s">
        <v>45</v>
      </c>
      <c r="D56" s="11">
        <v>400</v>
      </c>
      <c r="E56" s="11">
        <v>400</v>
      </c>
      <c r="F56" s="11">
        <v>400</v>
      </c>
      <c r="G56" s="11">
        <v>400</v>
      </c>
      <c r="H56" s="11">
        <v>400</v>
      </c>
      <c r="I56" s="11">
        <v>400</v>
      </c>
      <c r="J56" s="11">
        <v>400</v>
      </c>
      <c r="K56" s="11">
        <v>400</v>
      </c>
      <c r="L56" s="11">
        <v>400</v>
      </c>
      <c r="M56" s="11">
        <v>400</v>
      </c>
      <c r="N56" s="11">
        <v>400</v>
      </c>
      <c r="O56" s="11">
        <v>400</v>
      </c>
      <c r="P56" s="11">
        <f t="shared" si="14"/>
        <v>4800</v>
      </c>
      <c r="Q56" s="12">
        <f t="shared" si="15"/>
        <v>400</v>
      </c>
      <c r="R56" s="5"/>
      <c r="S56" s="6"/>
    </row>
    <row r="57" spans="2:19" ht="14.4">
      <c r="B57" s="4"/>
      <c r="C57" s="13" t="s">
        <v>46</v>
      </c>
      <c r="D57" s="11">
        <v>800</v>
      </c>
      <c r="E57" s="11"/>
      <c r="F57" s="11"/>
      <c r="G57" s="11"/>
      <c r="H57" s="11"/>
      <c r="I57" s="11">
        <v>600</v>
      </c>
      <c r="J57" s="11"/>
      <c r="K57" s="11"/>
      <c r="L57" s="11"/>
      <c r="M57" s="11">
        <v>900</v>
      </c>
      <c r="N57" s="11"/>
      <c r="O57" s="11"/>
      <c r="P57" s="11">
        <f t="shared" si="14"/>
        <v>2300</v>
      </c>
      <c r="Q57" s="12">
        <f t="shared" si="15"/>
        <v>191.66666666666666</v>
      </c>
      <c r="R57" s="5"/>
      <c r="S57" s="6"/>
    </row>
    <row r="58" spans="2:19" ht="14.4">
      <c r="B58" s="4"/>
      <c r="C58" s="13" t="s">
        <v>47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2"/>
      <c r="R58" s="5"/>
      <c r="S58" s="6"/>
    </row>
    <row r="59" spans="2:19" ht="14.4">
      <c r="B59" s="4"/>
      <c r="C59" s="13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5"/>
      <c r="S59" s="6"/>
    </row>
    <row r="60" spans="2:19" ht="14.4">
      <c r="B60" s="4"/>
      <c r="C60" s="13" t="s">
        <v>48</v>
      </c>
      <c r="D60" s="38">
        <f t="shared" ref="D60:Q60" si="16">SUM(D50:D59)</f>
        <v>5925</v>
      </c>
      <c r="E60" s="38">
        <f t="shared" si="16"/>
        <v>4500</v>
      </c>
      <c r="F60" s="38">
        <f t="shared" si="16"/>
        <v>4600</v>
      </c>
      <c r="G60" s="38">
        <f t="shared" si="16"/>
        <v>5125</v>
      </c>
      <c r="H60" s="38">
        <f t="shared" si="16"/>
        <v>4500</v>
      </c>
      <c r="I60" s="38">
        <f t="shared" si="16"/>
        <v>5100</v>
      </c>
      <c r="J60" s="38">
        <f t="shared" si="16"/>
        <v>5375</v>
      </c>
      <c r="K60" s="38">
        <f t="shared" si="16"/>
        <v>4500</v>
      </c>
      <c r="L60" s="38">
        <f t="shared" si="16"/>
        <v>4500</v>
      </c>
      <c r="M60" s="38">
        <f t="shared" si="16"/>
        <v>5975</v>
      </c>
      <c r="N60" s="38">
        <f t="shared" si="16"/>
        <v>4470</v>
      </c>
      <c r="O60" s="38">
        <f t="shared" si="16"/>
        <v>4620</v>
      </c>
      <c r="P60" s="38">
        <f t="shared" si="16"/>
        <v>59190</v>
      </c>
      <c r="Q60" s="39">
        <f t="shared" si="16"/>
        <v>4932.5000000000009</v>
      </c>
      <c r="R60" s="5"/>
      <c r="S60" s="6"/>
    </row>
    <row r="61" spans="2:19" ht="14.4">
      <c r="B61" s="4"/>
      <c r="C61" s="19" t="s">
        <v>37</v>
      </c>
      <c r="D61" s="40">
        <f>D60/P60</f>
        <v>0.10010136847440446</v>
      </c>
      <c r="E61" s="41">
        <f>E60/P60</f>
        <v>7.6026355803345158E-2</v>
      </c>
      <c r="F61" s="41">
        <f>F60/P60</f>
        <v>7.7715830376752823E-2</v>
      </c>
      <c r="G61" s="41">
        <f>G60/P60</f>
        <v>8.6585571887143095E-2</v>
      </c>
      <c r="H61" s="41">
        <f>H60/P60</f>
        <v>7.6026355803345158E-2</v>
      </c>
      <c r="I61" s="41">
        <f>I60/P60</f>
        <v>8.6163203243791175E-2</v>
      </c>
      <c r="J61" s="41">
        <f>J60/P60</f>
        <v>9.0809258320662278E-2</v>
      </c>
      <c r="K61" s="41">
        <f>K60/P60</f>
        <v>7.6026355803345158E-2</v>
      </c>
      <c r="L61" s="41">
        <f>L60/P60</f>
        <v>7.6026355803345158E-2</v>
      </c>
      <c r="M61" s="41">
        <f>M60/P60</f>
        <v>0.1009461057611083</v>
      </c>
      <c r="N61" s="41">
        <f>N60/P60</f>
        <v>7.5519513431322863E-2</v>
      </c>
      <c r="O61" s="41">
        <f>O60/P60</f>
        <v>7.8053725291434367E-2</v>
      </c>
      <c r="P61" s="41">
        <f>P60/P60</f>
        <v>1</v>
      </c>
      <c r="Q61" s="42"/>
      <c r="R61" s="5"/>
      <c r="S61" s="6"/>
    </row>
    <row r="62" spans="2:19" ht="14.4">
      <c r="B62" s="4"/>
      <c r="C62" s="4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6"/>
      <c r="R62" s="5"/>
      <c r="S62" s="6"/>
    </row>
    <row r="63" spans="2:19" ht="14.4">
      <c r="B63" s="4"/>
      <c r="C63" s="35" t="s">
        <v>49</v>
      </c>
      <c r="D63" s="36" t="s">
        <v>2</v>
      </c>
      <c r="E63" s="37" t="s">
        <v>3</v>
      </c>
      <c r="F63" s="37" t="s">
        <v>4</v>
      </c>
      <c r="G63" s="37" t="s">
        <v>5</v>
      </c>
      <c r="H63" s="37" t="s">
        <v>6</v>
      </c>
      <c r="I63" s="37" t="s">
        <v>7</v>
      </c>
      <c r="J63" s="37" t="s">
        <v>8</v>
      </c>
      <c r="K63" s="37" t="s">
        <v>9</v>
      </c>
      <c r="L63" s="37" t="s">
        <v>10</v>
      </c>
      <c r="M63" s="37" t="s">
        <v>11</v>
      </c>
      <c r="N63" s="37" t="s">
        <v>12</v>
      </c>
      <c r="O63" s="37" t="s">
        <v>13</v>
      </c>
      <c r="P63" s="37" t="s">
        <v>25</v>
      </c>
      <c r="Q63" s="25" t="s">
        <v>26</v>
      </c>
      <c r="R63" s="5"/>
      <c r="S63" s="6"/>
    </row>
    <row r="64" spans="2:19" ht="14.4">
      <c r="B64" s="4"/>
      <c r="C64" s="13" t="s">
        <v>50</v>
      </c>
      <c r="D64" s="11">
        <v>1000</v>
      </c>
      <c r="E64" s="11">
        <v>1000</v>
      </c>
      <c r="F64" s="11">
        <v>1000</v>
      </c>
      <c r="G64" s="11">
        <v>900</v>
      </c>
      <c r="H64" s="11">
        <v>1100</v>
      </c>
      <c r="I64" s="11">
        <v>1100</v>
      </c>
      <c r="J64" s="11">
        <v>1236</v>
      </c>
      <c r="K64" s="11">
        <v>900</v>
      </c>
      <c r="L64" s="11">
        <v>1000</v>
      </c>
      <c r="M64" s="11">
        <v>1100</v>
      </c>
      <c r="N64" s="11">
        <v>1236</v>
      </c>
      <c r="O64" s="11">
        <v>1236</v>
      </c>
      <c r="P64" s="11">
        <f t="shared" ref="P64:P67" si="17">SUM(D64:O64)</f>
        <v>12808</v>
      </c>
      <c r="Q64" s="12">
        <f t="shared" ref="Q64:Q67" si="18">P64/COLUMNS(D64:O64)</f>
        <v>1067.3333333333333</v>
      </c>
      <c r="R64" s="5"/>
      <c r="S64" s="6"/>
    </row>
    <row r="65" spans="2:19" ht="14.4">
      <c r="B65" s="4"/>
      <c r="C65" s="13" t="s">
        <v>51</v>
      </c>
      <c r="D65" s="11">
        <v>500</v>
      </c>
      <c r="E65" s="11">
        <v>500</v>
      </c>
      <c r="F65" s="11">
        <v>500</v>
      </c>
      <c r="G65" s="11">
        <v>500</v>
      </c>
      <c r="H65" s="11">
        <v>500</v>
      </c>
      <c r="I65" s="11">
        <v>500</v>
      </c>
      <c r="J65" s="11">
        <v>500</v>
      </c>
      <c r="K65" s="11">
        <v>500</v>
      </c>
      <c r="L65" s="11">
        <v>500</v>
      </c>
      <c r="M65" s="11">
        <v>500</v>
      </c>
      <c r="N65" s="11">
        <v>500</v>
      </c>
      <c r="O65" s="11">
        <v>500</v>
      </c>
      <c r="P65" s="11">
        <f t="shared" si="17"/>
        <v>6000</v>
      </c>
      <c r="Q65" s="12">
        <f t="shared" si="18"/>
        <v>500</v>
      </c>
      <c r="R65" s="5"/>
      <c r="S65" s="6"/>
    </row>
    <row r="66" spans="2:19" ht="14.4">
      <c r="B66" s="4"/>
      <c r="C66" s="13" t="s">
        <v>52</v>
      </c>
      <c r="D66" s="11">
        <v>500</v>
      </c>
      <c r="E66" s="11">
        <v>500</v>
      </c>
      <c r="F66" s="11">
        <v>500</v>
      </c>
      <c r="G66" s="11">
        <v>500</v>
      </c>
      <c r="H66" s="11">
        <v>500</v>
      </c>
      <c r="I66" s="11">
        <v>500</v>
      </c>
      <c r="J66" s="11">
        <v>500</v>
      </c>
      <c r="K66" s="11">
        <v>500</v>
      </c>
      <c r="L66" s="11">
        <v>500</v>
      </c>
      <c r="M66" s="11">
        <v>500</v>
      </c>
      <c r="N66" s="11">
        <v>500</v>
      </c>
      <c r="O66" s="11">
        <v>500</v>
      </c>
      <c r="P66" s="11">
        <f t="shared" si="17"/>
        <v>6000</v>
      </c>
      <c r="Q66" s="12">
        <f t="shared" si="18"/>
        <v>500</v>
      </c>
      <c r="R66" s="5"/>
      <c r="S66" s="6"/>
    </row>
    <row r="67" spans="2:19" ht="14.4">
      <c r="B67" s="4"/>
      <c r="C67" s="13" t="s">
        <v>53</v>
      </c>
      <c r="D67" s="11">
        <v>800</v>
      </c>
      <c r="E67" s="11">
        <v>800</v>
      </c>
      <c r="F67" s="11">
        <v>800</v>
      </c>
      <c r="G67" s="11">
        <v>800</v>
      </c>
      <c r="H67" s="11">
        <v>800</v>
      </c>
      <c r="I67" s="11">
        <v>800</v>
      </c>
      <c r="J67" s="11">
        <v>800</v>
      </c>
      <c r="K67" s="11">
        <v>800</v>
      </c>
      <c r="L67" s="11">
        <v>800</v>
      </c>
      <c r="M67" s="11">
        <v>800</v>
      </c>
      <c r="N67" s="11">
        <v>800</v>
      </c>
      <c r="O67" s="11">
        <v>800</v>
      </c>
      <c r="P67" s="11">
        <f t="shared" si="17"/>
        <v>9600</v>
      </c>
      <c r="Q67" s="12">
        <f t="shared" si="18"/>
        <v>800</v>
      </c>
      <c r="R67" s="5"/>
      <c r="S67" s="6"/>
    </row>
    <row r="68" spans="2:19" ht="14.4">
      <c r="B68" s="4"/>
      <c r="C68" s="13" t="s">
        <v>47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5"/>
      <c r="S68" s="6"/>
    </row>
    <row r="69" spans="2:19" ht="14.4">
      <c r="B69" s="4"/>
      <c r="C69" s="13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2"/>
      <c r="R69" s="5"/>
      <c r="S69" s="6"/>
    </row>
    <row r="70" spans="2:19" ht="14.4">
      <c r="B70" s="4"/>
      <c r="C70" s="13" t="s">
        <v>54</v>
      </c>
      <c r="D70" s="38">
        <f t="shared" ref="D70:Q70" si="19">SUM(D64:D69)</f>
        <v>2800</v>
      </c>
      <c r="E70" s="38">
        <f t="shared" si="19"/>
        <v>2800</v>
      </c>
      <c r="F70" s="38">
        <f t="shared" si="19"/>
        <v>2800</v>
      </c>
      <c r="G70" s="38">
        <f t="shared" si="19"/>
        <v>2700</v>
      </c>
      <c r="H70" s="38">
        <f t="shared" si="19"/>
        <v>2900</v>
      </c>
      <c r="I70" s="38">
        <f t="shared" si="19"/>
        <v>2900</v>
      </c>
      <c r="J70" s="38">
        <f t="shared" si="19"/>
        <v>3036</v>
      </c>
      <c r="K70" s="38">
        <f t="shared" si="19"/>
        <v>2700</v>
      </c>
      <c r="L70" s="38">
        <f t="shared" si="19"/>
        <v>2800</v>
      </c>
      <c r="M70" s="38">
        <f t="shared" si="19"/>
        <v>2900</v>
      </c>
      <c r="N70" s="38">
        <f t="shared" si="19"/>
        <v>3036</v>
      </c>
      <c r="O70" s="38">
        <f t="shared" si="19"/>
        <v>3036</v>
      </c>
      <c r="P70" s="38">
        <f t="shared" si="19"/>
        <v>34408</v>
      </c>
      <c r="Q70" s="39">
        <f t="shared" si="19"/>
        <v>2867.333333333333</v>
      </c>
      <c r="R70" s="5"/>
      <c r="S70" s="6"/>
    </row>
    <row r="71" spans="2:19" ht="14.4">
      <c r="B71" s="4"/>
      <c r="C71" s="19" t="s">
        <v>37</v>
      </c>
      <c r="D71" s="40">
        <f>D70/P70</f>
        <v>8.1376424087421531E-2</v>
      </c>
      <c r="E71" s="41">
        <f>E70/P70</f>
        <v>8.1376424087421531E-2</v>
      </c>
      <c r="F71" s="41">
        <f>F70/P70</f>
        <v>8.1376424087421531E-2</v>
      </c>
      <c r="G71" s="41">
        <f>G70/P70</f>
        <v>7.8470123227156477E-2</v>
      </c>
      <c r="H71" s="41">
        <f>H70/P70</f>
        <v>8.4282724947686585E-2</v>
      </c>
      <c r="I71" s="41">
        <f>I70/P70</f>
        <v>8.4282724947686585E-2</v>
      </c>
      <c r="J71" s="41">
        <f>J70/P70</f>
        <v>8.8235294117647065E-2</v>
      </c>
      <c r="K71" s="41">
        <f>K70/P70</f>
        <v>7.8470123227156477E-2</v>
      </c>
      <c r="L71" s="41">
        <f>L70/P70</f>
        <v>8.1376424087421531E-2</v>
      </c>
      <c r="M71" s="41">
        <f>M70/P70</f>
        <v>8.4282724947686585E-2</v>
      </c>
      <c r="N71" s="41">
        <f>N70/P70</f>
        <v>8.8235294117647065E-2</v>
      </c>
      <c r="O71" s="41">
        <f>O70/P70</f>
        <v>8.8235294117647065E-2</v>
      </c>
      <c r="P71" s="41">
        <f>P70/P70</f>
        <v>1</v>
      </c>
      <c r="Q71" s="42"/>
      <c r="R71" s="5"/>
      <c r="S71" s="6"/>
    </row>
    <row r="72" spans="2:19" ht="14.4">
      <c r="B72" s="4"/>
      <c r="C72" s="6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6"/>
      <c r="R72" s="5"/>
      <c r="S72" s="6"/>
    </row>
    <row r="73" spans="2:19" ht="14.4">
      <c r="B73" s="4"/>
      <c r="C73" s="35" t="s">
        <v>55</v>
      </c>
      <c r="D73" s="36" t="s">
        <v>2</v>
      </c>
      <c r="E73" s="37" t="s">
        <v>3</v>
      </c>
      <c r="F73" s="37" t="s">
        <v>4</v>
      </c>
      <c r="G73" s="37" t="s">
        <v>5</v>
      </c>
      <c r="H73" s="37" t="s">
        <v>6</v>
      </c>
      <c r="I73" s="37" t="s">
        <v>7</v>
      </c>
      <c r="J73" s="37" t="s">
        <v>8</v>
      </c>
      <c r="K73" s="37" t="s">
        <v>9</v>
      </c>
      <c r="L73" s="37" t="s">
        <v>10</v>
      </c>
      <c r="M73" s="37" t="s">
        <v>11</v>
      </c>
      <c r="N73" s="37" t="s">
        <v>12</v>
      </c>
      <c r="O73" s="37" t="s">
        <v>13</v>
      </c>
      <c r="P73" s="37" t="s">
        <v>25</v>
      </c>
      <c r="Q73" s="25" t="s">
        <v>26</v>
      </c>
      <c r="R73" s="5"/>
      <c r="S73" s="6"/>
    </row>
    <row r="74" spans="2:19" ht="14.4">
      <c r="B74" s="4"/>
      <c r="C74" s="13" t="s">
        <v>52</v>
      </c>
      <c r="D74" s="11">
        <v>2000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f t="shared" ref="P74:P76" si="20">SUM(D74:O74)</f>
        <v>2000</v>
      </c>
      <c r="Q74" s="12">
        <f t="shared" ref="Q74:Q76" si="21">P74/COLUMNS(D74:O74)</f>
        <v>166.66666666666666</v>
      </c>
      <c r="R74" s="5"/>
      <c r="S74" s="6"/>
    </row>
    <row r="75" spans="2:19" ht="14.4">
      <c r="B75" s="4"/>
      <c r="C75" s="13" t="s">
        <v>56</v>
      </c>
      <c r="D75" s="11">
        <v>500</v>
      </c>
      <c r="E75" s="11">
        <v>500</v>
      </c>
      <c r="F75" s="11">
        <v>500</v>
      </c>
      <c r="G75" s="11">
        <v>500</v>
      </c>
      <c r="H75" s="11">
        <v>500</v>
      </c>
      <c r="I75" s="11">
        <v>500</v>
      </c>
      <c r="J75" s="11">
        <v>500</v>
      </c>
      <c r="K75" s="11">
        <v>500</v>
      </c>
      <c r="L75" s="11">
        <v>500</v>
      </c>
      <c r="M75" s="11">
        <v>500</v>
      </c>
      <c r="N75" s="11">
        <v>500</v>
      </c>
      <c r="O75" s="11">
        <v>500</v>
      </c>
      <c r="P75" s="11">
        <f t="shared" si="20"/>
        <v>6000</v>
      </c>
      <c r="Q75" s="12">
        <f t="shared" si="21"/>
        <v>500</v>
      </c>
      <c r="R75" s="5"/>
      <c r="S75" s="6"/>
    </row>
    <row r="76" spans="2:19" ht="14.4">
      <c r="B76" s="4"/>
      <c r="C76" s="13" t="s">
        <v>57</v>
      </c>
      <c r="D76" s="11">
        <v>500</v>
      </c>
      <c r="E76" s="11">
        <v>500</v>
      </c>
      <c r="F76" s="11">
        <v>500</v>
      </c>
      <c r="G76" s="11">
        <v>500</v>
      </c>
      <c r="H76" s="11">
        <v>500</v>
      </c>
      <c r="I76" s="11">
        <v>500</v>
      </c>
      <c r="J76" s="11">
        <v>500</v>
      </c>
      <c r="K76" s="11">
        <v>500</v>
      </c>
      <c r="L76" s="11">
        <v>500</v>
      </c>
      <c r="M76" s="11">
        <v>500</v>
      </c>
      <c r="N76" s="11">
        <v>500</v>
      </c>
      <c r="O76" s="11">
        <v>500</v>
      </c>
      <c r="P76" s="11">
        <f t="shared" si="20"/>
        <v>6000</v>
      </c>
      <c r="Q76" s="12">
        <f t="shared" si="21"/>
        <v>500</v>
      </c>
      <c r="R76" s="5"/>
      <c r="S76" s="6"/>
    </row>
    <row r="77" spans="2:19" ht="14.4">
      <c r="B77" s="4"/>
      <c r="C77" s="13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2"/>
      <c r="R77" s="5"/>
      <c r="S77" s="6"/>
    </row>
    <row r="78" spans="2:19" ht="14.4">
      <c r="B78" s="4"/>
      <c r="C78" s="13" t="s">
        <v>58</v>
      </c>
      <c r="D78" s="38">
        <f t="shared" ref="D78:Q78" si="22">SUM(D74:D77)</f>
        <v>3000</v>
      </c>
      <c r="E78" s="38">
        <f t="shared" si="22"/>
        <v>1000</v>
      </c>
      <c r="F78" s="38">
        <f t="shared" si="22"/>
        <v>1000</v>
      </c>
      <c r="G78" s="38">
        <f t="shared" si="22"/>
        <v>1000</v>
      </c>
      <c r="H78" s="38">
        <f t="shared" si="22"/>
        <v>1000</v>
      </c>
      <c r="I78" s="38">
        <f t="shared" si="22"/>
        <v>1000</v>
      </c>
      <c r="J78" s="38">
        <f t="shared" si="22"/>
        <v>1000</v>
      </c>
      <c r="K78" s="38">
        <f t="shared" si="22"/>
        <v>1000</v>
      </c>
      <c r="L78" s="38">
        <f t="shared" si="22"/>
        <v>1000</v>
      </c>
      <c r="M78" s="38">
        <f t="shared" si="22"/>
        <v>1000</v>
      </c>
      <c r="N78" s="38">
        <f t="shared" si="22"/>
        <v>1000</v>
      </c>
      <c r="O78" s="38">
        <f t="shared" si="22"/>
        <v>1000</v>
      </c>
      <c r="P78" s="38">
        <f t="shared" si="22"/>
        <v>14000</v>
      </c>
      <c r="Q78" s="39">
        <f t="shared" si="22"/>
        <v>1166.6666666666665</v>
      </c>
      <c r="R78" s="5"/>
      <c r="S78" s="6"/>
    </row>
    <row r="79" spans="2:19" ht="14.4">
      <c r="B79" s="4"/>
      <c r="C79" s="19" t="s">
        <v>37</v>
      </c>
      <c r="D79" s="40">
        <f>D78/P78</f>
        <v>0.21428571428571427</v>
      </c>
      <c r="E79" s="41">
        <f>E78/P78</f>
        <v>7.1428571428571425E-2</v>
      </c>
      <c r="F79" s="41">
        <f>F78/P78</f>
        <v>7.1428571428571425E-2</v>
      </c>
      <c r="G79" s="41">
        <f>G78/P78</f>
        <v>7.1428571428571425E-2</v>
      </c>
      <c r="H79" s="41">
        <f>H78/P78</f>
        <v>7.1428571428571425E-2</v>
      </c>
      <c r="I79" s="41">
        <f>I78/P78</f>
        <v>7.1428571428571425E-2</v>
      </c>
      <c r="J79" s="41">
        <f>J78/P78</f>
        <v>7.1428571428571425E-2</v>
      </c>
      <c r="K79" s="41">
        <f>K78/P78</f>
        <v>7.1428571428571425E-2</v>
      </c>
      <c r="L79" s="41">
        <f>L78/P78</f>
        <v>7.1428571428571425E-2</v>
      </c>
      <c r="M79" s="41">
        <f>M78/P78</f>
        <v>7.1428571428571425E-2</v>
      </c>
      <c r="N79" s="41">
        <f>N78/P78</f>
        <v>7.1428571428571425E-2</v>
      </c>
      <c r="O79" s="41">
        <f>O78/P78</f>
        <v>7.1428571428571425E-2</v>
      </c>
      <c r="P79" s="41">
        <f>P78/P78</f>
        <v>1</v>
      </c>
      <c r="Q79" s="42"/>
      <c r="R79" s="5"/>
      <c r="S79" s="6"/>
    </row>
    <row r="80" spans="2:19" ht="14.4">
      <c r="B80" s="4"/>
      <c r="C80" s="6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6"/>
      <c r="R80" s="5"/>
      <c r="S80" s="6"/>
    </row>
    <row r="81" spans="2:19" ht="14.4">
      <c r="B81" s="4"/>
      <c r="C81" s="35" t="s">
        <v>59</v>
      </c>
      <c r="D81" s="36" t="s">
        <v>2</v>
      </c>
      <c r="E81" s="37" t="s">
        <v>3</v>
      </c>
      <c r="F81" s="37" t="s">
        <v>4</v>
      </c>
      <c r="G81" s="37" t="s">
        <v>5</v>
      </c>
      <c r="H81" s="37" t="s">
        <v>6</v>
      </c>
      <c r="I81" s="37" t="s">
        <v>7</v>
      </c>
      <c r="J81" s="37" t="s">
        <v>8</v>
      </c>
      <c r="K81" s="37" t="s">
        <v>9</v>
      </c>
      <c r="L81" s="37" t="s">
        <v>10</v>
      </c>
      <c r="M81" s="37" t="s">
        <v>11</v>
      </c>
      <c r="N81" s="37" t="s">
        <v>12</v>
      </c>
      <c r="O81" s="37" t="s">
        <v>13</v>
      </c>
      <c r="P81" s="37" t="s">
        <v>25</v>
      </c>
      <c r="Q81" s="25" t="s">
        <v>26</v>
      </c>
      <c r="R81" s="5"/>
      <c r="S81" s="6"/>
    </row>
    <row r="82" spans="2:19" ht="14.4">
      <c r="B82" s="4"/>
      <c r="C82" s="13" t="s">
        <v>60</v>
      </c>
      <c r="D82" s="11">
        <v>2000</v>
      </c>
      <c r="E82" s="11">
        <v>2000</v>
      </c>
      <c r="F82" s="11">
        <v>2000</v>
      </c>
      <c r="G82" s="11">
        <v>2000</v>
      </c>
      <c r="H82" s="11">
        <v>2000</v>
      </c>
      <c r="I82" s="11">
        <v>2000</v>
      </c>
      <c r="J82" s="11">
        <v>2000</v>
      </c>
      <c r="K82" s="11">
        <v>2000</v>
      </c>
      <c r="L82" s="11">
        <v>2000</v>
      </c>
      <c r="M82" s="11">
        <v>2000</v>
      </c>
      <c r="N82" s="11">
        <v>2000</v>
      </c>
      <c r="O82" s="11">
        <v>2000</v>
      </c>
      <c r="P82" s="11">
        <f t="shared" ref="P82:P84" si="23">SUM(D82:O82)</f>
        <v>24000</v>
      </c>
      <c r="Q82" s="12">
        <f t="shared" ref="Q82:Q84" si="24">P82/COLUMNS(D82:O82)</f>
        <v>2000</v>
      </c>
      <c r="R82" s="5"/>
      <c r="S82" s="6"/>
    </row>
    <row r="83" spans="2:19" ht="14.4">
      <c r="B83" s="4"/>
      <c r="C83" s="13" t="s">
        <v>61</v>
      </c>
      <c r="D83" s="11">
        <v>3000</v>
      </c>
      <c r="E83" s="11">
        <v>3000</v>
      </c>
      <c r="F83" s="11">
        <v>3000</v>
      </c>
      <c r="G83" s="11">
        <v>3000</v>
      </c>
      <c r="H83" s="11">
        <v>3000</v>
      </c>
      <c r="I83" s="11">
        <v>3000</v>
      </c>
      <c r="J83" s="11">
        <v>3000</v>
      </c>
      <c r="K83" s="11">
        <v>3000</v>
      </c>
      <c r="L83" s="11">
        <v>3000</v>
      </c>
      <c r="M83" s="11">
        <v>3000</v>
      </c>
      <c r="N83" s="11">
        <v>3000</v>
      </c>
      <c r="O83" s="11">
        <v>3000</v>
      </c>
      <c r="P83" s="11">
        <f t="shared" si="23"/>
        <v>36000</v>
      </c>
      <c r="Q83" s="12">
        <f t="shared" si="24"/>
        <v>3000</v>
      </c>
      <c r="R83" s="5"/>
      <c r="S83" s="6"/>
    </row>
    <row r="84" spans="2:19" ht="14.4">
      <c r="B84" s="4"/>
      <c r="C84" s="13" t="s">
        <v>62</v>
      </c>
      <c r="D84" s="11"/>
      <c r="E84" s="11"/>
      <c r="F84" s="11"/>
      <c r="G84" s="11"/>
      <c r="H84" s="11"/>
      <c r="I84" s="11"/>
      <c r="J84" s="11">
        <v>10000</v>
      </c>
      <c r="K84" s="11"/>
      <c r="L84" s="11"/>
      <c r="M84" s="11"/>
      <c r="N84" s="11"/>
      <c r="O84" s="11"/>
      <c r="P84" s="11">
        <f t="shared" si="23"/>
        <v>10000</v>
      </c>
      <c r="Q84" s="12">
        <f t="shared" si="24"/>
        <v>833.33333333333337</v>
      </c>
      <c r="R84" s="5"/>
      <c r="S84" s="6"/>
    </row>
    <row r="85" spans="2:19" ht="14.4">
      <c r="B85" s="4"/>
      <c r="C85" s="13" t="s">
        <v>47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2"/>
      <c r="R85" s="5"/>
      <c r="S85" s="6"/>
    </row>
    <row r="86" spans="2:19" ht="14.4">
      <c r="B86" s="4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2"/>
      <c r="R86" s="5"/>
      <c r="S86" s="6"/>
    </row>
    <row r="87" spans="2:19" ht="14.4">
      <c r="B87" s="4"/>
      <c r="C87" s="13" t="s">
        <v>63</v>
      </c>
      <c r="D87" s="38">
        <f t="shared" ref="D87:Q87" si="25">SUM(D82:D86)</f>
        <v>5000</v>
      </c>
      <c r="E87" s="38">
        <f t="shared" si="25"/>
        <v>5000</v>
      </c>
      <c r="F87" s="38">
        <f t="shared" si="25"/>
        <v>5000</v>
      </c>
      <c r="G87" s="38">
        <f t="shared" si="25"/>
        <v>5000</v>
      </c>
      <c r="H87" s="38">
        <f t="shared" si="25"/>
        <v>5000</v>
      </c>
      <c r="I87" s="38">
        <f t="shared" si="25"/>
        <v>5000</v>
      </c>
      <c r="J87" s="38">
        <f t="shared" si="25"/>
        <v>15000</v>
      </c>
      <c r="K87" s="38">
        <f t="shared" si="25"/>
        <v>5000</v>
      </c>
      <c r="L87" s="38">
        <f t="shared" si="25"/>
        <v>5000</v>
      </c>
      <c r="M87" s="38">
        <f t="shared" si="25"/>
        <v>5000</v>
      </c>
      <c r="N87" s="38">
        <f t="shared" si="25"/>
        <v>5000</v>
      </c>
      <c r="O87" s="38">
        <f t="shared" si="25"/>
        <v>5000</v>
      </c>
      <c r="P87" s="38">
        <f t="shared" si="25"/>
        <v>70000</v>
      </c>
      <c r="Q87" s="39">
        <f t="shared" si="25"/>
        <v>5833.333333333333</v>
      </c>
      <c r="R87" s="5"/>
      <c r="S87" s="6"/>
    </row>
    <row r="88" spans="2:19" ht="14.4">
      <c r="B88" s="4"/>
      <c r="C88" s="19" t="s">
        <v>37</v>
      </c>
      <c r="D88" s="40">
        <f>D87/P87</f>
        <v>7.1428571428571425E-2</v>
      </c>
      <c r="E88" s="41">
        <f>E87/P87</f>
        <v>7.1428571428571425E-2</v>
      </c>
      <c r="F88" s="41">
        <f>F87/P87</f>
        <v>7.1428571428571425E-2</v>
      </c>
      <c r="G88" s="41">
        <f>G87/P87</f>
        <v>7.1428571428571425E-2</v>
      </c>
      <c r="H88" s="41">
        <f>H87/P87</f>
        <v>7.1428571428571425E-2</v>
      </c>
      <c r="I88" s="41">
        <f>I87/P87</f>
        <v>7.1428571428571425E-2</v>
      </c>
      <c r="J88" s="41">
        <f>J87/P87</f>
        <v>0.21428571428571427</v>
      </c>
      <c r="K88" s="41">
        <f>K87/P87</f>
        <v>7.1428571428571425E-2</v>
      </c>
      <c r="L88" s="41">
        <f>L87/P87</f>
        <v>7.1428571428571425E-2</v>
      </c>
      <c r="M88" s="41">
        <f>M87/P87</f>
        <v>7.1428571428571425E-2</v>
      </c>
      <c r="N88" s="41">
        <f>N87/P87</f>
        <v>7.1428571428571425E-2</v>
      </c>
      <c r="O88" s="41">
        <f>O87/P87</f>
        <v>7.1428571428571425E-2</v>
      </c>
      <c r="P88" s="41">
        <f>P87/P87</f>
        <v>1</v>
      </c>
      <c r="Q88" s="42"/>
      <c r="R88" s="5"/>
      <c r="S88" s="6"/>
    </row>
    <row r="89" spans="2:19" ht="14.4">
      <c r="B89" s="4"/>
      <c r="C89" s="6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6"/>
      <c r="R89" s="5"/>
      <c r="S89" s="6"/>
    </row>
    <row r="90" spans="2:19" ht="14.4">
      <c r="B90" s="4"/>
      <c r="C90" s="35" t="s">
        <v>64</v>
      </c>
      <c r="D90" s="36" t="s">
        <v>2</v>
      </c>
      <c r="E90" s="37" t="s">
        <v>3</v>
      </c>
      <c r="F90" s="37" t="s">
        <v>4</v>
      </c>
      <c r="G90" s="37" t="s">
        <v>5</v>
      </c>
      <c r="H90" s="37" t="s">
        <v>6</v>
      </c>
      <c r="I90" s="37" t="s">
        <v>7</v>
      </c>
      <c r="J90" s="37" t="s">
        <v>8</v>
      </c>
      <c r="K90" s="37" t="s">
        <v>9</v>
      </c>
      <c r="L90" s="37" t="s">
        <v>10</v>
      </c>
      <c r="M90" s="37" t="s">
        <v>11</v>
      </c>
      <c r="N90" s="37" t="s">
        <v>12</v>
      </c>
      <c r="O90" s="37" t="s">
        <v>13</v>
      </c>
      <c r="P90" s="37" t="s">
        <v>25</v>
      </c>
      <c r="Q90" s="25" t="s">
        <v>26</v>
      </c>
      <c r="R90" s="5"/>
      <c r="S90" s="6"/>
    </row>
    <row r="91" spans="2:19" ht="14.4">
      <c r="B91" s="4"/>
      <c r="C91" s="13" t="s">
        <v>65</v>
      </c>
      <c r="D91" s="11"/>
      <c r="E91" s="11"/>
      <c r="F91" s="11"/>
      <c r="G91" s="11">
        <v>500</v>
      </c>
      <c r="H91" s="11"/>
      <c r="I91" s="11"/>
      <c r="J91" s="11"/>
      <c r="K91" s="11"/>
      <c r="L91" s="11">
        <v>500</v>
      </c>
      <c r="M91" s="11"/>
      <c r="N91" s="11"/>
      <c r="O91" s="11"/>
      <c r="P91" s="11">
        <f t="shared" ref="P91:P92" si="26">SUM(D91:O91)</f>
        <v>1000</v>
      </c>
      <c r="Q91" s="12">
        <f t="shared" ref="Q91:Q92" si="27">P91/COLUMNS(D91:O91)</f>
        <v>83.333333333333329</v>
      </c>
      <c r="R91" s="5"/>
      <c r="S91" s="6"/>
    </row>
    <row r="92" spans="2:19" ht="14.4">
      <c r="B92" s="4"/>
      <c r="C92" s="13" t="s">
        <v>66</v>
      </c>
      <c r="D92" s="11">
        <v>200</v>
      </c>
      <c r="E92" s="11"/>
      <c r="F92" s="11"/>
      <c r="G92" s="11">
        <v>500</v>
      </c>
      <c r="H92" s="11"/>
      <c r="I92" s="11"/>
      <c r="J92" s="11">
        <v>100</v>
      </c>
      <c r="K92" s="11"/>
      <c r="L92" s="11">
        <v>800</v>
      </c>
      <c r="M92" s="11"/>
      <c r="N92" s="11">
        <v>50</v>
      </c>
      <c r="O92" s="11"/>
      <c r="P92" s="11">
        <f t="shared" si="26"/>
        <v>1650</v>
      </c>
      <c r="Q92" s="12">
        <f t="shared" si="27"/>
        <v>137.5</v>
      </c>
      <c r="R92" s="5"/>
      <c r="S92" s="6"/>
    </row>
    <row r="93" spans="2:19" ht="14.4">
      <c r="B93" s="4"/>
      <c r="C93" s="13" t="s">
        <v>47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2"/>
      <c r="R93" s="5"/>
      <c r="S93" s="6"/>
    </row>
    <row r="94" spans="2:19" ht="14.4">
      <c r="B94" s="4"/>
      <c r="C94" s="13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2"/>
      <c r="R94" s="5"/>
      <c r="S94" s="6"/>
    </row>
    <row r="95" spans="2:19" ht="14.4">
      <c r="B95" s="4"/>
      <c r="C95" s="13" t="s">
        <v>67</v>
      </c>
      <c r="D95" s="38">
        <f t="shared" ref="D95:Q95" si="28">SUM(D91:D93)</f>
        <v>200</v>
      </c>
      <c r="E95" s="38">
        <f t="shared" si="28"/>
        <v>0</v>
      </c>
      <c r="F95" s="38">
        <f t="shared" si="28"/>
        <v>0</v>
      </c>
      <c r="G95" s="38">
        <f t="shared" si="28"/>
        <v>1000</v>
      </c>
      <c r="H95" s="38">
        <f t="shared" si="28"/>
        <v>0</v>
      </c>
      <c r="I95" s="38">
        <f t="shared" si="28"/>
        <v>0</v>
      </c>
      <c r="J95" s="38">
        <f t="shared" si="28"/>
        <v>100</v>
      </c>
      <c r="K95" s="38">
        <f t="shared" si="28"/>
        <v>0</v>
      </c>
      <c r="L95" s="38">
        <f t="shared" si="28"/>
        <v>1300</v>
      </c>
      <c r="M95" s="38">
        <f t="shared" si="28"/>
        <v>0</v>
      </c>
      <c r="N95" s="38">
        <f t="shared" si="28"/>
        <v>50</v>
      </c>
      <c r="O95" s="38">
        <f t="shared" si="28"/>
        <v>0</v>
      </c>
      <c r="P95" s="38">
        <f t="shared" si="28"/>
        <v>2650</v>
      </c>
      <c r="Q95" s="39">
        <f t="shared" si="28"/>
        <v>220.83333333333331</v>
      </c>
      <c r="R95" s="5"/>
      <c r="S95" s="6"/>
    </row>
    <row r="96" spans="2:19" ht="14.4">
      <c r="B96" s="4"/>
      <c r="C96" s="44" t="s">
        <v>37</v>
      </c>
      <c r="D96" s="40">
        <f>D95/P95</f>
        <v>7.5471698113207544E-2</v>
      </c>
      <c r="E96" s="41">
        <f>E95/P95</f>
        <v>0</v>
      </c>
      <c r="F96" s="41">
        <f>F95/P95</f>
        <v>0</v>
      </c>
      <c r="G96" s="41">
        <f>G95/P95</f>
        <v>0.37735849056603776</v>
      </c>
      <c r="H96" s="41">
        <f>H95/P95</f>
        <v>0</v>
      </c>
      <c r="I96" s="41">
        <f>I95/P95</f>
        <v>0</v>
      </c>
      <c r="J96" s="41">
        <f>J95/P95</f>
        <v>3.7735849056603772E-2</v>
      </c>
      <c r="K96" s="41">
        <f>K95/P95</f>
        <v>0</v>
      </c>
      <c r="L96" s="41">
        <f>L95/P95</f>
        <v>0.49056603773584906</v>
      </c>
      <c r="M96" s="41">
        <f>M95/P95</f>
        <v>0</v>
      </c>
      <c r="N96" s="41">
        <f>N95/P95</f>
        <v>1.8867924528301886E-2</v>
      </c>
      <c r="O96" s="41">
        <f>O95/P95</f>
        <v>0</v>
      </c>
      <c r="P96" s="41">
        <f>P95/P95</f>
        <v>1</v>
      </c>
      <c r="Q96" s="42"/>
      <c r="R96" s="5"/>
      <c r="S96" s="6"/>
    </row>
    <row r="97" spans="2:19" ht="14.4">
      <c r="B97" s="4"/>
      <c r="C97" s="6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6"/>
      <c r="R97" s="5"/>
      <c r="S97" s="6"/>
    </row>
    <row r="98" spans="2:19" ht="14.4">
      <c r="B98" s="4"/>
      <c r="C98" s="35" t="s">
        <v>68</v>
      </c>
      <c r="D98" s="36" t="s">
        <v>2</v>
      </c>
      <c r="E98" s="37" t="s">
        <v>3</v>
      </c>
      <c r="F98" s="37" t="s">
        <v>4</v>
      </c>
      <c r="G98" s="37" t="s">
        <v>5</v>
      </c>
      <c r="H98" s="37" t="s">
        <v>6</v>
      </c>
      <c r="I98" s="37" t="s">
        <v>7</v>
      </c>
      <c r="J98" s="37" t="s">
        <v>8</v>
      </c>
      <c r="K98" s="37" t="s">
        <v>9</v>
      </c>
      <c r="L98" s="37" t="s">
        <v>10</v>
      </c>
      <c r="M98" s="37" t="s">
        <v>11</v>
      </c>
      <c r="N98" s="37" t="s">
        <v>12</v>
      </c>
      <c r="O98" s="37" t="s">
        <v>13</v>
      </c>
      <c r="P98" s="37" t="s">
        <v>25</v>
      </c>
      <c r="Q98" s="25" t="s">
        <v>26</v>
      </c>
      <c r="R98" s="5"/>
      <c r="S98" s="6"/>
    </row>
    <row r="99" spans="2:19" ht="14.4">
      <c r="B99" s="4"/>
      <c r="C99" s="13" t="s">
        <v>69</v>
      </c>
      <c r="D99" s="11">
        <v>1500</v>
      </c>
      <c r="E99" s="11">
        <v>1500</v>
      </c>
      <c r="F99" s="11">
        <v>1500</v>
      </c>
      <c r="G99" s="11">
        <v>1500</v>
      </c>
      <c r="H99" s="11">
        <v>1500</v>
      </c>
      <c r="I99" s="11">
        <v>1500</v>
      </c>
      <c r="J99" s="11">
        <v>1500</v>
      </c>
      <c r="K99" s="11">
        <v>1500</v>
      </c>
      <c r="L99" s="11">
        <v>1500</v>
      </c>
      <c r="M99" s="11">
        <v>1500</v>
      </c>
      <c r="N99" s="11">
        <v>1500</v>
      </c>
      <c r="O99" s="11">
        <v>1500</v>
      </c>
      <c r="P99" s="11">
        <f t="shared" ref="P99:P100" si="29">SUM(D99:O99)</f>
        <v>18000</v>
      </c>
      <c r="Q99" s="12">
        <f t="shared" ref="Q99:Q100" si="30">P99/COLUMNS(D99:O99)</f>
        <v>1500</v>
      </c>
      <c r="R99" s="5"/>
      <c r="S99" s="6"/>
    </row>
    <row r="100" spans="2:19" ht="14.4">
      <c r="B100" s="4"/>
      <c r="C100" s="13" t="s">
        <v>70</v>
      </c>
      <c r="D100" s="11">
        <v>250</v>
      </c>
      <c r="E100" s="11">
        <v>250</v>
      </c>
      <c r="F100" s="11">
        <v>250</v>
      </c>
      <c r="G100" s="11">
        <v>250</v>
      </c>
      <c r="H100" s="11">
        <v>250</v>
      </c>
      <c r="I100" s="11">
        <v>250</v>
      </c>
      <c r="J100" s="11">
        <v>250</v>
      </c>
      <c r="K100" s="11">
        <v>250</v>
      </c>
      <c r="L100" s="11">
        <v>250</v>
      </c>
      <c r="M100" s="11">
        <v>250</v>
      </c>
      <c r="N100" s="11">
        <v>250</v>
      </c>
      <c r="O100" s="11">
        <v>250</v>
      </c>
      <c r="P100" s="11">
        <f t="shared" si="29"/>
        <v>3000</v>
      </c>
      <c r="Q100" s="12">
        <f t="shared" si="30"/>
        <v>250</v>
      </c>
      <c r="R100" s="5"/>
      <c r="S100" s="6"/>
    </row>
    <row r="101" spans="2:19" ht="14.4">
      <c r="B101" s="4"/>
      <c r="C101" s="13" t="s">
        <v>47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2"/>
      <c r="R101" s="5"/>
      <c r="S101" s="6"/>
    </row>
    <row r="102" spans="2:19" ht="14.4">
      <c r="B102" s="4"/>
      <c r="C102" s="13" t="s">
        <v>71</v>
      </c>
      <c r="D102" s="38">
        <f t="shared" ref="D102:Q102" si="31">SUM(D99:D101)</f>
        <v>1750</v>
      </c>
      <c r="E102" s="38">
        <f t="shared" si="31"/>
        <v>1750</v>
      </c>
      <c r="F102" s="38">
        <f t="shared" si="31"/>
        <v>1750</v>
      </c>
      <c r="G102" s="38">
        <f t="shared" si="31"/>
        <v>1750</v>
      </c>
      <c r="H102" s="38">
        <f t="shared" si="31"/>
        <v>1750</v>
      </c>
      <c r="I102" s="38">
        <f t="shared" si="31"/>
        <v>1750</v>
      </c>
      <c r="J102" s="38">
        <f t="shared" si="31"/>
        <v>1750</v>
      </c>
      <c r="K102" s="38">
        <f t="shared" si="31"/>
        <v>1750</v>
      </c>
      <c r="L102" s="38">
        <f t="shared" si="31"/>
        <v>1750</v>
      </c>
      <c r="M102" s="38">
        <f t="shared" si="31"/>
        <v>1750</v>
      </c>
      <c r="N102" s="38">
        <f t="shared" si="31"/>
        <v>1750</v>
      </c>
      <c r="O102" s="38">
        <f t="shared" si="31"/>
        <v>1750</v>
      </c>
      <c r="P102" s="38">
        <f t="shared" si="31"/>
        <v>21000</v>
      </c>
      <c r="Q102" s="39">
        <f t="shared" si="31"/>
        <v>1750</v>
      </c>
      <c r="R102" s="5"/>
      <c r="S102" s="6"/>
    </row>
    <row r="103" spans="2:19" ht="14.4">
      <c r="B103" s="4"/>
      <c r="C103" s="19" t="s">
        <v>37</v>
      </c>
      <c r="D103" s="40">
        <f>D102/P102</f>
        <v>8.3333333333333329E-2</v>
      </c>
      <c r="E103" s="41">
        <f>E102/P102</f>
        <v>8.3333333333333329E-2</v>
      </c>
      <c r="F103" s="41">
        <f>F102/P102</f>
        <v>8.3333333333333329E-2</v>
      </c>
      <c r="G103" s="41">
        <f>G102/P102</f>
        <v>8.3333333333333329E-2</v>
      </c>
      <c r="H103" s="41">
        <f>H102/P102</f>
        <v>8.3333333333333329E-2</v>
      </c>
      <c r="I103" s="41">
        <f>I102/P102</f>
        <v>8.3333333333333329E-2</v>
      </c>
      <c r="J103" s="41">
        <f>J102/P102</f>
        <v>8.3333333333333329E-2</v>
      </c>
      <c r="K103" s="41">
        <f>K102/P102</f>
        <v>8.3333333333333329E-2</v>
      </c>
      <c r="L103" s="41">
        <f>L102/P102</f>
        <v>8.3333333333333329E-2</v>
      </c>
      <c r="M103" s="41">
        <f>M102/P102</f>
        <v>8.3333333333333329E-2</v>
      </c>
      <c r="N103" s="41">
        <f>N102/P102</f>
        <v>8.3333333333333329E-2</v>
      </c>
      <c r="O103" s="41">
        <f>O102/P102</f>
        <v>8.3333333333333329E-2</v>
      </c>
      <c r="P103" s="41">
        <f>P102/P102</f>
        <v>1</v>
      </c>
      <c r="Q103" s="42"/>
      <c r="R103" s="5"/>
      <c r="S103" s="6"/>
    </row>
    <row r="104" spans="2:19" ht="14.4">
      <c r="B104" s="4"/>
      <c r="C104" s="6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6"/>
      <c r="R104" s="5"/>
      <c r="S104" s="6"/>
    </row>
    <row r="105" spans="2:19" ht="14.4">
      <c r="B105" s="4"/>
      <c r="C105" s="35" t="s">
        <v>72</v>
      </c>
      <c r="D105" s="36" t="s">
        <v>2</v>
      </c>
      <c r="E105" s="37" t="s">
        <v>3</v>
      </c>
      <c r="F105" s="37" t="s">
        <v>4</v>
      </c>
      <c r="G105" s="37" t="s">
        <v>5</v>
      </c>
      <c r="H105" s="37" t="s">
        <v>6</v>
      </c>
      <c r="I105" s="37" t="s">
        <v>7</v>
      </c>
      <c r="J105" s="37" t="s">
        <v>8</v>
      </c>
      <c r="K105" s="37" t="s">
        <v>9</v>
      </c>
      <c r="L105" s="37" t="s">
        <v>10</v>
      </c>
      <c r="M105" s="37" t="s">
        <v>11</v>
      </c>
      <c r="N105" s="37" t="s">
        <v>12</v>
      </c>
      <c r="O105" s="37" t="s">
        <v>13</v>
      </c>
      <c r="P105" s="37" t="s">
        <v>25</v>
      </c>
      <c r="Q105" s="25" t="s">
        <v>26</v>
      </c>
      <c r="R105" s="5"/>
      <c r="S105" s="6"/>
    </row>
    <row r="106" spans="2:19" ht="14.4">
      <c r="B106" s="4"/>
      <c r="C106" s="13" t="s">
        <v>73</v>
      </c>
      <c r="D106" s="11">
        <v>2000</v>
      </c>
      <c r="E106" s="11">
        <v>2000</v>
      </c>
      <c r="F106" s="11">
        <v>2000</v>
      </c>
      <c r="G106" s="11">
        <v>2000</v>
      </c>
      <c r="H106" s="11">
        <v>2000</v>
      </c>
      <c r="I106" s="11">
        <v>2000</v>
      </c>
      <c r="J106" s="11">
        <v>2000</v>
      </c>
      <c r="K106" s="11">
        <v>2000</v>
      </c>
      <c r="L106" s="11">
        <v>2000</v>
      </c>
      <c r="M106" s="11">
        <v>2000</v>
      </c>
      <c r="N106" s="11">
        <v>2000</v>
      </c>
      <c r="O106" s="11">
        <v>2000</v>
      </c>
      <c r="P106" s="11">
        <f>SUM(D106:O106)</f>
        <v>24000</v>
      </c>
      <c r="Q106" s="12">
        <f>P106/COLUMNS(D106:O106)</f>
        <v>2000</v>
      </c>
      <c r="R106" s="5"/>
      <c r="S106" s="6"/>
    </row>
    <row r="107" spans="2:19" ht="14.4">
      <c r="B107" s="4"/>
      <c r="C107" s="13" t="s">
        <v>74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5"/>
      <c r="S107" s="6"/>
    </row>
    <row r="108" spans="2:19" ht="14.4">
      <c r="B108" s="4"/>
      <c r="C108" s="13" t="s">
        <v>47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2"/>
      <c r="R108" s="5"/>
      <c r="S108" s="6"/>
    </row>
    <row r="109" spans="2:19" ht="14.4">
      <c r="B109" s="4"/>
      <c r="C109" s="13" t="s">
        <v>75</v>
      </c>
      <c r="D109" s="38">
        <f t="shared" ref="D109:Q109" si="32">SUM(D106:D108)</f>
        <v>2000</v>
      </c>
      <c r="E109" s="38">
        <f t="shared" si="32"/>
        <v>2000</v>
      </c>
      <c r="F109" s="38">
        <f t="shared" si="32"/>
        <v>2000</v>
      </c>
      <c r="G109" s="38">
        <f t="shared" si="32"/>
        <v>2000</v>
      </c>
      <c r="H109" s="38">
        <f t="shared" si="32"/>
        <v>2000</v>
      </c>
      <c r="I109" s="38">
        <f t="shared" si="32"/>
        <v>2000</v>
      </c>
      <c r="J109" s="38">
        <f t="shared" si="32"/>
        <v>2000</v>
      </c>
      <c r="K109" s="38">
        <f t="shared" si="32"/>
        <v>2000</v>
      </c>
      <c r="L109" s="38">
        <f t="shared" si="32"/>
        <v>2000</v>
      </c>
      <c r="M109" s="38">
        <f t="shared" si="32"/>
        <v>2000</v>
      </c>
      <c r="N109" s="38">
        <f t="shared" si="32"/>
        <v>2000</v>
      </c>
      <c r="O109" s="38">
        <f t="shared" si="32"/>
        <v>2000</v>
      </c>
      <c r="P109" s="38">
        <f t="shared" si="32"/>
        <v>24000</v>
      </c>
      <c r="Q109" s="39">
        <f t="shared" si="32"/>
        <v>2000</v>
      </c>
      <c r="R109" s="5"/>
      <c r="S109" s="6"/>
    </row>
    <row r="110" spans="2:19" ht="14.4">
      <c r="B110" s="4"/>
      <c r="C110" s="19" t="s">
        <v>37</v>
      </c>
      <c r="D110" s="40">
        <f>D109/P109</f>
        <v>8.3333333333333329E-2</v>
      </c>
      <c r="E110" s="41">
        <f>E109/P109</f>
        <v>8.3333333333333329E-2</v>
      </c>
      <c r="F110" s="41">
        <f>F109/P109</f>
        <v>8.3333333333333329E-2</v>
      </c>
      <c r="G110" s="41">
        <f>G109/P109</f>
        <v>8.3333333333333329E-2</v>
      </c>
      <c r="H110" s="41">
        <f>H109/P109</f>
        <v>8.3333333333333329E-2</v>
      </c>
      <c r="I110" s="41">
        <f>I109/P109</f>
        <v>8.3333333333333329E-2</v>
      </c>
      <c r="J110" s="41">
        <f>J109/P109</f>
        <v>8.3333333333333329E-2</v>
      </c>
      <c r="K110" s="41">
        <f>K109/P109</f>
        <v>8.3333333333333329E-2</v>
      </c>
      <c r="L110" s="41">
        <f>L109/P109</f>
        <v>8.3333333333333329E-2</v>
      </c>
      <c r="M110" s="41">
        <f>M109/P109</f>
        <v>8.3333333333333329E-2</v>
      </c>
      <c r="N110" s="41">
        <f>N109/P109</f>
        <v>8.3333333333333329E-2</v>
      </c>
      <c r="O110" s="41">
        <f>O109/P109</f>
        <v>8.3333333333333329E-2</v>
      </c>
      <c r="P110" s="41">
        <f>P109/P109</f>
        <v>1</v>
      </c>
      <c r="Q110" s="42"/>
      <c r="R110" s="5"/>
      <c r="S110" s="6"/>
    </row>
    <row r="111" spans="2:19" ht="14.4">
      <c r="B111" s="4"/>
      <c r="C111" s="6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6"/>
      <c r="R111" s="5"/>
      <c r="S111" s="6"/>
    </row>
    <row r="112" spans="2:19" ht="14.4">
      <c r="B112" s="4"/>
      <c r="C112" s="35" t="s">
        <v>76</v>
      </c>
      <c r="D112" s="36" t="s">
        <v>2</v>
      </c>
      <c r="E112" s="37" t="s">
        <v>3</v>
      </c>
      <c r="F112" s="37" t="s">
        <v>4</v>
      </c>
      <c r="G112" s="37" t="s">
        <v>5</v>
      </c>
      <c r="H112" s="37" t="s">
        <v>6</v>
      </c>
      <c r="I112" s="37" t="s">
        <v>7</v>
      </c>
      <c r="J112" s="37" t="s">
        <v>8</v>
      </c>
      <c r="K112" s="37" t="s">
        <v>9</v>
      </c>
      <c r="L112" s="37" t="s">
        <v>10</v>
      </c>
      <c r="M112" s="37" t="s">
        <v>11</v>
      </c>
      <c r="N112" s="37" t="s">
        <v>12</v>
      </c>
      <c r="O112" s="37" t="s">
        <v>13</v>
      </c>
      <c r="P112" s="37" t="s">
        <v>25</v>
      </c>
      <c r="Q112" s="25" t="s">
        <v>26</v>
      </c>
      <c r="R112" s="5"/>
      <c r="S112" s="6"/>
    </row>
    <row r="113" spans="2:19" ht="14.4">
      <c r="B113" s="4"/>
      <c r="C113" s="13" t="s">
        <v>77</v>
      </c>
      <c r="D113" s="11">
        <v>800</v>
      </c>
      <c r="E113" s="11"/>
      <c r="F113" s="11"/>
      <c r="G113" s="11"/>
      <c r="H113" s="11"/>
      <c r="I113" s="11"/>
      <c r="J113" s="11"/>
      <c r="K113" s="11">
        <v>600</v>
      </c>
      <c r="L113" s="11"/>
      <c r="M113" s="11"/>
      <c r="N113" s="11"/>
      <c r="O113" s="11"/>
      <c r="P113" s="11">
        <f t="shared" ref="P113:P120" si="33">SUM(D113:O113)</f>
        <v>1400</v>
      </c>
      <c r="Q113" s="12">
        <f t="shared" ref="Q113:Q120" si="34">P113/COLUMNS(D113:O113)</f>
        <v>116.66666666666667</v>
      </c>
      <c r="R113" s="5"/>
      <c r="S113" s="6"/>
    </row>
    <row r="114" spans="2:19" ht="14.4">
      <c r="B114" s="4"/>
      <c r="C114" s="13" t="s">
        <v>78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f t="shared" si="33"/>
        <v>0</v>
      </c>
      <c r="Q114" s="12">
        <f t="shared" si="34"/>
        <v>0</v>
      </c>
      <c r="R114" s="5"/>
      <c r="S114" s="6"/>
    </row>
    <row r="115" spans="2:19" ht="14.4">
      <c r="B115" s="4"/>
      <c r="C115" s="13" t="s">
        <v>79</v>
      </c>
      <c r="D115" s="11">
        <v>1000</v>
      </c>
      <c r="E115" s="11">
        <v>1000</v>
      </c>
      <c r="F115" s="11">
        <v>1000</v>
      </c>
      <c r="G115" s="11">
        <v>1000</v>
      </c>
      <c r="H115" s="11">
        <v>1000</v>
      </c>
      <c r="I115" s="11">
        <v>1000</v>
      </c>
      <c r="J115" s="11">
        <v>1000</v>
      </c>
      <c r="K115" s="11">
        <v>1000</v>
      </c>
      <c r="L115" s="11">
        <v>1000</v>
      </c>
      <c r="M115" s="11">
        <v>1000</v>
      </c>
      <c r="N115" s="11">
        <v>1000</v>
      </c>
      <c r="O115" s="11">
        <v>1000</v>
      </c>
      <c r="P115" s="11">
        <f t="shared" si="33"/>
        <v>12000</v>
      </c>
      <c r="Q115" s="12">
        <f t="shared" si="34"/>
        <v>1000</v>
      </c>
      <c r="R115" s="5"/>
      <c r="S115" s="6"/>
    </row>
    <row r="116" spans="2:19" ht="14.4">
      <c r="B116" s="4"/>
      <c r="C116" s="13" t="s">
        <v>80</v>
      </c>
      <c r="D116" s="11">
        <v>1200</v>
      </c>
      <c r="E116" s="11"/>
      <c r="F116" s="11">
        <v>1500</v>
      </c>
      <c r="G116" s="11"/>
      <c r="H116" s="11"/>
      <c r="I116" s="11">
        <v>2000</v>
      </c>
      <c r="J116" s="11"/>
      <c r="K116" s="11">
        <v>500</v>
      </c>
      <c r="L116" s="11"/>
      <c r="M116" s="11">
        <v>1000</v>
      </c>
      <c r="N116" s="11"/>
      <c r="O116" s="11">
        <v>500</v>
      </c>
      <c r="P116" s="11">
        <f t="shared" si="33"/>
        <v>6700</v>
      </c>
      <c r="Q116" s="12">
        <f t="shared" si="34"/>
        <v>558.33333333333337</v>
      </c>
      <c r="R116" s="5"/>
      <c r="S116" s="6"/>
    </row>
    <row r="117" spans="2:19" ht="14.4">
      <c r="B117" s="4"/>
      <c r="C117" s="13" t="s">
        <v>81</v>
      </c>
      <c r="D117" s="11"/>
      <c r="E117" s="11"/>
      <c r="F117" s="11"/>
      <c r="G117" s="11"/>
      <c r="H117" s="11">
        <v>10000</v>
      </c>
      <c r="I117" s="11"/>
      <c r="J117" s="11"/>
      <c r="K117" s="11"/>
      <c r="L117" s="11"/>
      <c r="M117" s="11"/>
      <c r="N117" s="11"/>
      <c r="O117" s="11"/>
      <c r="P117" s="11">
        <f t="shared" si="33"/>
        <v>10000</v>
      </c>
      <c r="Q117" s="12">
        <f t="shared" si="34"/>
        <v>833.33333333333337</v>
      </c>
      <c r="R117" s="5"/>
      <c r="S117" s="6"/>
    </row>
    <row r="118" spans="2:19" ht="14.4">
      <c r="B118" s="4"/>
      <c r="C118" s="13" t="s">
        <v>82</v>
      </c>
      <c r="D118" s="11"/>
      <c r="E118" s="11"/>
      <c r="F118" s="11">
        <v>500</v>
      </c>
      <c r="G118" s="11"/>
      <c r="H118" s="11"/>
      <c r="I118" s="11"/>
      <c r="J118" s="11">
        <v>700</v>
      </c>
      <c r="K118" s="11"/>
      <c r="L118" s="11"/>
      <c r="M118" s="11"/>
      <c r="N118" s="11">
        <v>1000</v>
      </c>
      <c r="O118" s="11"/>
      <c r="P118" s="11">
        <f t="shared" si="33"/>
        <v>2200</v>
      </c>
      <c r="Q118" s="12">
        <f t="shared" si="34"/>
        <v>183.33333333333334</v>
      </c>
      <c r="R118" s="5"/>
      <c r="S118" s="6"/>
    </row>
    <row r="119" spans="2:19" ht="14.4">
      <c r="B119" s="4"/>
      <c r="C119" s="13" t="s">
        <v>83</v>
      </c>
      <c r="D119" s="11">
        <v>800</v>
      </c>
      <c r="E119" s="11">
        <v>800</v>
      </c>
      <c r="F119" s="11">
        <v>800</v>
      </c>
      <c r="G119" s="11">
        <v>800</v>
      </c>
      <c r="H119" s="11">
        <v>800</v>
      </c>
      <c r="I119" s="11">
        <v>800</v>
      </c>
      <c r="J119" s="11">
        <v>800</v>
      </c>
      <c r="K119" s="11">
        <v>800</v>
      </c>
      <c r="L119" s="11">
        <v>800</v>
      </c>
      <c r="M119" s="11">
        <v>800</v>
      </c>
      <c r="N119" s="11">
        <v>800</v>
      </c>
      <c r="O119" s="11">
        <v>800</v>
      </c>
      <c r="P119" s="11">
        <f t="shared" si="33"/>
        <v>9600</v>
      </c>
      <c r="Q119" s="12">
        <f t="shared" si="34"/>
        <v>800</v>
      </c>
      <c r="R119" s="5"/>
      <c r="S119" s="6"/>
    </row>
    <row r="120" spans="2:19" ht="14.4">
      <c r="B120" s="4"/>
      <c r="C120" s="13" t="s">
        <v>84</v>
      </c>
      <c r="D120" s="11"/>
      <c r="E120" s="11"/>
      <c r="F120" s="11"/>
      <c r="G120" s="11">
        <v>1500</v>
      </c>
      <c r="H120" s="11"/>
      <c r="I120" s="11"/>
      <c r="J120" s="11"/>
      <c r="K120" s="11"/>
      <c r="L120" s="11"/>
      <c r="M120" s="11"/>
      <c r="N120" s="11"/>
      <c r="O120" s="11">
        <v>3000</v>
      </c>
      <c r="P120" s="11">
        <f t="shared" si="33"/>
        <v>4500</v>
      </c>
      <c r="Q120" s="12">
        <f t="shared" si="34"/>
        <v>375</v>
      </c>
      <c r="R120" s="5"/>
      <c r="S120" s="6"/>
    </row>
    <row r="121" spans="2:19" ht="14.4">
      <c r="B121" s="4"/>
      <c r="C121" s="13" t="s">
        <v>47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2"/>
      <c r="R121" s="5"/>
      <c r="S121" s="6"/>
    </row>
    <row r="122" spans="2:19" ht="14.4">
      <c r="B122" s="4"/>
      <c r="C122" s="13" t="str">
        <f>"Total "&amp;$A$103</f>
        <v xml:space="preserve">Total </v>
      </c>
      <c r="D122" s="38">
        <f t="shared" ref="D122:Q122" si="35">SUM(D113:D121)</f>
        <v>3800</v>
      </c>
      <c r="E122" s="38">
        <f t="shared" si="35"/>
        <v>1800</v>
      </c>
      <c r="F122" s="38">
        <f t="shared" si="35"/>
        <v>3800</v>
      </c>
      <c r="G122" s="38">
        <f t="shared" si="35"/>
        <v>3300</v>
      </c>
      <c r="H122" s="38">
        <f t="shared" si="35"/>
        <v>11800</v>
      </c>
      <c r="I122" s="38">
        <f t="shared" si="35"/>
        <v>3800</v>
      </c>
      <c r="J122" s="38">
        <f t="shared" si="35"/>
        <v>2500</v>
      </c>
      <c r="K122" s="38">
        <f t="shared" si="35"/>
        <v>2900</v>
      </c>
      <c r="L122" s="38">
        <f t="shared" si="35"/>
        <v>1800</v>
      </c>
      <c r="M122" s="38">
        <f t="shared" si="35"/>
        <v>2800</v>
      </c>
      <c r="N122" s="38">
        <f t="shared" si="35"/>
        <v>2800</v>
      </c>
      <c r="O122" s="38">
        <f t="shared" si="35"/>
        <v>5300</v>
      </c>
      <c r="P122" s="38">
        <f t="shared" si="35"/>
        <v>46400</v>
      </c>
      <c r="Q122" s="39">
        <f t="shared" si="35"/>
        <v>3866.666666666667</v>
      </c>
      <c r="R122" s="5"/>
      <c r="S122" s="6"/>
    </row>
    <row r="123" spans="2:19" ht="14.4">
      <c r="B123" s="4"/>
      <c r="C123" s="19" t="s">
        <v>37</v>
      </c>
      <c r="D123" s="40">
        <f>D122/P122</f>
        <v>8.1896551724137928E-2</v>
      </c>
      <c r="E123" s="41">
        <f>E122/P122</f>
        <v>3.8793103448275863E-2</v>
      </c>
      <c r="F123" s="41">
        <f>F122/P122</f>
        <v>8.1896551724137928E-2</v>
      </c>
      <c r="G123" s="41">
        <f>G122/P122</f>
        <v>7.1120689655172417E-2</v>
      </c>
      <c r="H123" s="41">
        <f>H122/P122</f>
        <v>0.25431034482758619</v>
      </c>
      <c r="I123" s="41">
        <f>I122/P122</f>
        <v>8.1896551724137928E-2</v>
      </c>
      <c r="J123" s="41">
        <f>J122/P122</f>
        <v>5.3879310344827583E-2</v>
      </c>
      <c r="K123" s="41">
        <f>K122/P122</f>
        <v>6.25E-2</v>
      </c>
      <c r="L123" s="41">
        <f>L122/P122</f>
        <v>3.8793103448275863E-2</v>
      </c>
      <c r="M123" s="41">
        <f>M122/P122</f>
        <v>6.0344827586206899E-2</v>
      </c>
      <c r="N123" s="41">
        <f>N122/P122</f>
        <v>6.0344827586206899E-2</v>
      </c>
      <c r="O123" s="41">
        <f>O122/P122</f>
        <v>0.11422413793103449</v>
      </c>
      <c r="P123" s="41">
        <f>P122/P122</f>
        <v>1</v>
      </c>
      <c r="Q123" s="42"/>
      <c r="R123" s="5"/>
      <c r="S123" s="6"/>
    </row>
    <row r="124" spans="2:19" ht="14.4">
      <c r="B124" s="4"/>
      <c r="C124" s="6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6"/>
      <c r="R124" s="5"/>
      <c r="S124" s="6"/>
    </row>
    <row r="125" spans="2:19" ht="14.4">
      <c r="B125" s="4"/>
      <c r="C125" s="35" t="s">
        <v>85</v>
      </c>
      <c r="D125" s="36" t="s">
        <v>2</v>
      </c>
      <c r="E125" s="37" t="s">
        <v>3</v>
      </c>
      <c r="F125" s="37" t="s">
        <v>4</v>
      </c>
      <c r="G125" s="37" t="s">
        <v>5</v>
      </c>
      <c r="H125" s="37" t="s">
        <v>6</v>
      </c>
      <c r="I125" s="37" t="s">
        <v>7</v>
      </c>
      <c r="J125" s="37" t="s">
        <v>8</v>
      </c>
      <c r="K125" s="37" t="s">
        <v>9</v>
      </c>
      <c r="L125" s="37" t="s">
        <v>10</v>
      </c>
      <c r="M125" s="37" t="s">
        <v>11</v>
      </c>
      <c r="N125" s="37" t="s">
        <v>12</v>
      </c>
      <c r="O125" s="37" t="s">
        <v>13</v>
      </c>
      <c r="P125" s="37" t="s">
        <v>25</v>
      </c>
      <c r="Q125" s="25" t="s">
        <v>26</v>
      </c>
      <c r="R125" s="5"/>
      <c r="S125" s="6"/>
    </row>
    <row r="126" spans="2:19" ht="14.4">
      <c r="B126" s="4"/>
      <c r="C126" s="13" t="s">
        <v>86</v>
      </c>
      <c r="D126" s="11">
        <v>500</v>
      </c>
      <c r="E126" s="11">
        <v>500</v>
      </c>
      <c r="F126" s="11">
        <v>500</v>
      </c>
      <c r="G126" s="11">
        <v>500</v>
      </c>
      <c r="H126" s="11">
        <v>500</v>
      </c>
      <c r="I126" s="11">
        <v>500</v>
      </c>
      <c r="J126" s="11">
        <v>500</v>
      </c>
      <c r="K126" s="11">
        <v>500</v>
      </c>
      <c r="L126" s="11">
        <v>500</v>
      </c>
      <c r="M126" s="11">
        <v>500</v>
      </c>
      <c r="N126" s="11">
        <v>500</v>
      </c>
      <c r="O126" s="11">
        <v>500</v>
      </c>
      <c r="P126" s="11">
        <f t="shared" ref="P126:P129" si="36">SUM(D126:O126)</f>
        <v>6000</v>
      </c>
      <c r="Q126" s="12">
        <f t="shared" ref="Q126:Q129" si="37">P126/COLUMNS(D126:O126)</f>
        <v>500</v>
      </c>
      <c r="R126" s="5"/>
      <c r="S126" s="6"/>
    </row>
    <row r="127" spans="2:19" ht="14.4">
      <c r="B127" s="4"/>
      <c r="C127" s="13" t="s">
        <v>87</v>
      </c>
      <c r="D127" s="11"/>
      <c r="E127" s="11"/>
      <c r="F127" s="11"/>
      <c r="G127" s="11">
        <v>1000</v>
      </c>
      <c r="H127" s="11"/>
      <c r="I127" s="11"/>
      <c r="J127" s="11"/>
      <c r="K127" s="11">
        <v>1000</v>
      </c>
      <c r="L127" s="11"/>
      <c r="M127" s="11"/>
      <c r="N127" s="11"/>
      <c r="O127" s="11">
        <v>1000</v>
      </c>
      <c r="P127" s="11">
        <f t="shared" si="36"/>
        <v>3000</v>
      </c>
      <c r="Q127" s="12">
        <f t="shared" si="37"/>
        <v>250</v>
      </c>
      <c r="R127" s="5"/>
      <c r="S127" s="6"/>
    </row>
    <row r="128" spans="2:19" ht="14.4">
      <c r="B128" s="4"/>
      <c r="C128" s="13" t="s">
        <v>88</v>
      </c>
      <c r="D128" s="11"/>
      <c r="E128" s="11">
        <v>500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f t="shared" si="36"/>
        <v>500</v>
      </c>
      <c r="Q128" s="12">
        <f t="shared" si="37"/>
        <v>41.666666666666664</v>
      </c>
      <c r="R128" s="5"/>
      <c r="S128" s="6"/>
    </row>
    <row r="129" spans="2:19" ht="14.4">
      <c r="B129" s="4"/>
      <c r="C129" s="13" t="s">
        <v>47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f t="shared" si="36"/>
        <v>0</v>
      </c>
      <c r="Q129" s="12">
        <f t="shared" si="37"/>
        <v>0</v>
      </c>
      <c r="R129" s="5"/>
      <c r="S129" s="6"/>
    </row>
    <row r="130" spans="2:19" ht="14.4">
      <c r="B130" s="4"/>
      <c r="C130" s="45" t="s">
        <v>89</v>
      </c>
      <c r="D130" s="38">
        <f t="shared" ref="D130:Q130" si="38">SUM(D126:D129)</f>
        <v>500</v>
      </c>
      <c r="E130" s="38">
        <f t="shared" si="38"/>
        <v>1000</v>
      </c>
      <c r="F130" s="38">
        <f t="shared" si="38"/>
        <v>500</v>
      </c>
      <c r="G130" s="38">
        <f t="shared" si="38"/>
        <v>1500</v>
      </c>
      <c r="H130" s="38">
        <f t="shared" si="38"/>
        <v>500</v>
      </c>
      <c r="I130" s="38">
        <f t="shared" si="38"/>
        <v>500</v>
      </c>
      <c r="J130" s="38">
        <f t="shared" si="38"/>
        <v>500</v>
      </c>
      <c r="K130" s="38">
        <f t="shared" si="38"/>
        <v>1500</v>
      </c>
      <c r="L130" s="38">
        <f t="shared" si="38"/>
        <v>500</v>
      </c>
      <c r="M130" s="38">
        <f t="shared" si="38"/>
        <v>500</v>
      </c>
      <c r="N130" s="38">
        <f t="shared" si="38"/>
        <v>500</v>
      </c>
      <c r="O130" s="38">
        <f t="shared" si="38"/>
        <v>1500</v>
      </c>
      <c r="P130" s="38">
        <f t="shared" si="38"/>
        <v>9500</v>
      </c>
      <c r="Q130" s="39">
        <f t="shared" si="38"/>
        <v>791.66666666666663</v>
      </c>
      <c r="R130" s="5"/>
      <c r="S130" s="6"/>
    </row>
    <row r="131" spans="2:19" ht="14.4">
      <c r="B131" s="4"/>
      <c r="C131" s="19" t="s">
        <v>37</v>
      </c>
      <c r="D131" s="46">
        <f>D130/P130</f>
        <v>5.2631578947368418E-2</v>
      </c>
      <c r="E131" s="46">
        <f>E130/P130</f>
        <v>0.10526315789473684</v>
      </c>
      <c r="F131" s="46">
        <f>F130/P130</f>
        <v>5.2631578947368418E-2</v>
      </c>
      <c r="G131" s="46">
        <f>G130/P130</f>
        <v>0.15789473684210525</v>
      </c>
      <c r="H131" s="46">
        <f>H130/P130</f>
        <v>5.2631578947368418E-2</v>
      </c>
      <c r="I131" s="46">
        <f>I130/P130</f>
        <v>5.2631578947368418E-2</v>
      </c>
      <c r="J131" s="46">
        <f>J130/P130</f>
        <v>5.2631578947368418E-2</v>
      </c>
      <c r="K131" s="46">
        <f>K130/P130</f>
        <v>0.15789473684210525</v>
      </c>
      <c r="L131" s="46">
        <f>L130/P130</f>
        <v>5.2631578947368418E-2</v>
      </c>
      <c r="M131" s="46">
        <f>M130/P130</f>
        <v>5.2631578947368418E-2</v>
      </c>
      <c r="N131" s="46">
        <f>N130/P130</f>
        <v>5.2631578947368418E-2</v>
      </c>
      <c r="O131" s="46">
        <f>O130/P130</f>
        <v>0.15789473684210525</v>
      </c>
      <c r="P131" s="46">
        <f>P130/P130</f>
        <v>1</v>
      </c>
      <c r="Q131" s="47"/>
      <c r="R131" s="5"/>
      <c r="S131" s="6"/>
    </row>
    <row r="132" spans="2:19" ht="14.4">
      <c r="B132" s="4"/>
      <c r="C132" s="6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6"/>
      <c r="R132" s="5"/>
      <c r="S132" s="6"/>
    </row>
    <row r="133" spans="2:19" ht="14.4">
      <c r="B133" s="4"/>
      <c r="C133" s="35" t="s">
        <v>90</v>
      </c>
      <c r="D133" s="36" t="s">
        <v>2</v>
      </c>
      <c r="E133" s="37" t="s">
        <v>3</v>
      </c>
      <c r="F133" s="37" t="s">
        <v>4</v>
      </c>
      <c r="G133" s="37" t="s">
        <v>5</v>
      </c>
      <c r="H133" s="37" t="s">
        <v>6</v>
      </c>
      <c r="I133" s="37" t="s">
        <v>7</v>
      </c>
      <c r="J133" s="37" t="s">
        <v>8</v>
      </c>
      <c r="K133" s="37" t="s">
        <v>9</v>
      </c>
      <c r="L133" s="37" t="s">
        <v>10</v>
      </c>
      <c r="M133" s="37" t="s">
        <v>11</v>
      </c>
      <c r="N133" s="37" t="s">
        <v>12</v>
      </c>
      <c r="O133" s="37" t="s">
        <v>13</v>
      </c>
      <c r="P133" s="37" t="s">
        <v>25</v>
      </c>
      <c r="Q133" s="25" t="s">
        <v>26</v>
      </c>
      <c r="R133" s="5"/>
      <c r="S133" s="6"/>
    </row>
    <row r="134" spans="2:19" ht="14.4">
      <c r="B134" s="4"/>
      <c r="C134" s="13" t="s">
        <v>91</v>
      </c>
      <c r="D134" s="11">
        <v>300</v>
      </c>
      <c r="E134" s="11">
        <v>300</v>
      </c>
      <c r="F134" s="11">
        <v>300</v>
      </c>
      <c r="G134" s="11">
        <v>300</v>
      </c>
      <c r="H134" s="11">
        <v>300</v>
      </c>
      <c r="I134" s="11">
        <v>300</v>
      </c>
      <c r="J134" s="11">
        <v>300</v>
      </c>
      <c r="K134" s="11">
        <v>300</v>
      </c>
      <c r="L134" s="11">
        <v>300</v>
      </c>
      <c r="M134" s="11">
        <v>300</v>
      </c>
      <c r="N134" s="11">
        <v>300</v>
      </c>
      <c r="O134" s="11">
        <v>300</v>
      </c>
      <c r="P134" s="11">
        <f t="shared" ref="P134:P137" si="39">SUM(D134:O134)</f>
        <v>3600</v>
      </c>
      <c r="Q134" s="12">
        <f t="shared" ref="Q134:Q137" si="40">P134/COLUMNS(D134:O134)</f>
        <v>300</v>
      </c>
      <c r="R134" s="5"/>
      <c r="S134" s="6"/>
    </row>
    <row r="135" spans="2:19" ht="14.4">
      <c r="B135" s="4"/>
      <c r="C135" s="13" t="s">
        <v>92</v>
      </c>
      <c r="D135" s="11">
        <v>100</v>
      </c>
      <c r="E135" s="11">
        <v>100</v>
      </c>
      <c r="F135" s="11">
        <v>100</v>
      </c>
      <c r="G135" s="11">
        <v>100</v>
      </c>
      <c r="H135" s="11">
        <v>100</v>
      </c>
      <c r="I135" s="11">
        <v>100</v>
      </c>
      <c r="J135" s="11">
        <v>100</v>
      </c>
      <c r="K135" s="11">
        <v>100</v>
      </c>
      <c r="L135" s="11">
        <v>100</v>
      </c>
      <c r="M135" s="11">
        <v>100</v>
      </c>
      <c r="N135" s="11">
        <v>100</v>
      </c>
      <c r="O135" s="11">
        <v>100</v>
      </c>
      <c r="P135" s="11">
        <f t="shared" si="39"/>
        <v>1200</v>
      </c>
      <c r="Q135" s="12">
        <f t="shared" si="40"/>
        <v>100</v>
      </c>
      <c r="R135" s="5"/>
      <c r="S135" s="6"/>
    </row>
    <row r="136" spans="2:19" ht="14.4">
      <c r="B136" s="4"/>
      <c r="C136" s="13" t="s">
        <v>93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f t="shared" si="39"/>
        <v>0</v>
      </c>
      <c r="Q136" s="12">
        <f t="shared" si="40"/>
        <v>0</v>
      </c>
      <c r="R136" s="5"/>
      <c r="S136" s="6"/>
    </row>
    <row r="137" spans="2:19" ht="14.4">
      <c r="B137" s="4"/>
      <c r="C137" s="13" t="s">
        <v>94</v>
      </c>
      <c r="D137" s="11"/>
      <c r="E137" s="11"/>
      <c r="F137" s="11"/>
      <c r="G137" s="11"/>
      <c r="H137" s="11"/>
      <c r="I137" s="11">
        <v>5000</v>
      </c>
      <c r="J137" s="11"/>
      <c r="K137" s="11"/>
      <c r="L137" s="11"/>
      <c r="M137" s="11"/>
      <c r="N137" s="11"/>
      <c r="O137" s="11">
        <v>5000</v>
      </c>
      <c r="P137" s="11">
        <f t="shared" si="39"/>
        <v>10000</v>
      </c>
      <c r="Q137" s="12">
        <f t="shared" si="40"/>
        <v>833.33333333333337</v>
      </c>
      <c r="R137" s="5"/>
      <c r="S137" s="6"/>
    </row>
    <row r="138" spans="2:19" ht="14.4">
      <c r="B138" s="4"/>
      <c r="C138" s="13" t="s">
        <v>47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2"/>
      <c r="R138" s="5"/>
      <c r="S138" s="6"/>
    </row>
    <row r="139" spans="2:19" ht="14.4">
      <c r="B139" s="4"/>
      <c r="C139" s="13" t="str">
        <f>"Total "&amp;$A$123</f>
        <v xml:space="preserve">Total </v>
      </c>
      <c r="D139" s="38">
        <f t="shared" ref="D139:Q139" si="41">SUM(D134:D138)</f>
        <v>400</v>
      </c>
      <c r="E139" s="38">
        <f t="shared" si="41"/>
        <v>400</v>
      </c>
      <c r="F139" s="38">
        <f t="shared" si="41"/>
        <v>400</v>
      </c>
      <c r="G139" s="38">
        <f t="shared" si="41"/>
        <v>400</v>
      </c>
      <c r="H139" s="38">
        <f t="shared" si="41"/>
        <v>400</v>
      </c>
      <c r="I139" s="38">
        <f t="shared" si="41"/>
        <v>5400</v>
      </c>
      <c r="J139" s="38">
        <f t="shared" si="41"/>
        <v>400</v>
      </c>
      <c r="K139" s="38">
        <f t="shared" si="41"/>
        <v>400</v>
      </c>
      <c r="L139" s="38">
        <f t="shared" si="41"/>
        <v>400</v>
      </c>
      <c r="M139" s="38">
        <f t="shared" si="41"/>
        <v>400</v>
      </c>
      <c r="N139" s="38">
        <f t="shared" si="41"/>
        <v>400</v>
      </c>
      <c r="O139" s="38">
        <f t="shared" si="41"/>
        <v>5400</v>
      </c>
      <c r="P139" s="38">
        <f t="shared" si="41"/>
        <v>14800</v>
      </c>
      <c r="Q139" s="39">
        <f t="shared" si="41"/>
        <v>1233.3333333333335</v>
      </c>
      <c r="R139" s="5"/>
      <c r="S139" s="6"/>
    </row>
    <row r="140" spans="2:19" ht="14.4">
      <c r="B140" s="4"/>
      <c r="C140" s="19" t="s">
        <v>37</v>
      </c>
      <c r="D140" s="40">
        <f>D139/P139</f>
        <v>2.7027027027027029E-2</v>
      </c>
      <c r="E140" s="41">
        <f>E139/P139</f>
        <v>2.7027027027027029E-2</v>
      </c>
      <c r="F140" s="41">
        <f>F139/P139</f>
        <v>2.7027027027027029E-2</v>
      </c>
      <c r="G140" s="41">
        <f>G139/P139</f>
        <v>2.7027027027027029E-2</v>
      </c>
      <c r="H140" s="41">
        <f>H139/P139</f>
        <v>2.7027027027027029E-2</v>
      </c>
      <c r="I140" s="41">
        <f>I139/P139</f>
        <v>0.36486486486486486</v>
      </c>
      <c r="J140" s="41">
        <f>J139/P139</f>
        <v>2.7027027027027029E-2</v>
      </c>
      <c r="K140" s="41">
        <f>K139/P139</f>
        <v>2.7027027027027029E-2</v>
      </c>
      <c r="L140" s="41">
        <f>L139/P139</f>
        <v>2.7027027027027029E-2</v>
      </c>
      <c r="M140" s="41">
        <f>M139/P139</f>
        <v>2.7027027027027029E-2</v>
      </c>
      <c r="N140" s="41">
        <f>N139/P139</f>
        <v>2.7027027027027029E-2</v>
      </c>
      <c r="O140" s="41">
        <f>O139/P139</f>
        <v>0.36486486486486486</v>
      </c>
      <c r="P140" s="41">
        <f>P139/P139</f>
        <v>1</v>
      </c>
      <c r="Q140" s="42"/>
      <c r="R140" s="5"/>
      <c r="S140" s="6"/>
    </row>
    <row r="141" spans="2:19" ht="14.4">
      <c r="B141" s="4"/>
      <c r="C141" s="6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6"/>
      <c r="R141" s="5"/>
      <c r="S141" s="6"/>
    </row>
    <row r="142" spans="2:19" ht="14.4">
      <c r="B142" s="4"/>
      <c r="C142" s="35" t="s">
        <v>95</v>
      </c>
      <c r="D142" s="36" t="s">
        <v>2</v>
      </c>
      <c r="E142" s="37" t="s">
        <v>3</v>
      </c>
      <c r="F142" s="37" t="s">
        <v>4</v>
      </c>
      <c r="G142" s="37" t="s">
        <v>5</v>
      </c>
      <c r="H142" s="37" t="s">
        <v>6</v>
      </c>
      <c r="I142" s="37" t="s">
        <v>7</v>
      </c>
      <c r="J142" s="37" t="s">
        <v>8</v>
      </c>
      <c r="K142" s="37" t="s">
        <v>9</v>
      </c>
      <c r="L142" s="37" t="s">
        <v>10</v>
      </c>
      <c r="M142" s="37" t="s">
        <v>11</v>
      </c>
      <c r="N142" s="37" t="s">
        <v>12</v>
      </c>
      <c r="O142" s="37" t="s">
        <v>13</v>
      </c>
      <c r="P142" s="37" t="s">
        <v>25</v>
      </c>
      <c r="Q142" s="25" t="s">
        <v>26</v>
      </c>
      <c r="R142" s="5"/>
      <c r="S142" s="6"/>
    </row>
    <row r="143" spans="2:19" ht="14.4">
      <c r="B143" s="4"/>
      <c r="C143" s="13" t="s">
        <v>96</v>
      </c>
      <c r="D143" s="11"/>
      <c r="E143" s="11"/>
      <c r="F143" s="11"/>
      <c r="G143" s="11"/>
      <c r="H143" s="11">
        <v>5000</v>
      </c>
      <c r="I143" s="11"/>
      <c r="J143" s="11"/>
      <c r="K143" s="11"/>
      <c r="L143" s="11"/>
      <c r="M143" s="11"/>
      <c r="N143" s="11"/>
      <c r="O143" s="11"/>
      <c r="P143" s="11">
        <f t="shared" ref="P143:P147" si="42">SUM(D143:O143)</f>
        <v>5000</v>
      </c>
      <c r="Q143" s="12">
        <f t="shared" ref="Q143:Q147" si="43">P143/COLUMNS(D143:O143)</f>
        <v>416.66666666666669</v>
      </c>
      <c r="R143" s="5"/>
      <c r="S143" s="6"/>
    </row>
    <row r="144" spans="2:19" ht="14.4">
      <c r="B144" s="4"/>
      <c r="C144" s="13" t="s">
        <v>97</v>
      </c>
      <c r="D144" s="11"/>
      <c r="E144" s="11"/>
      <c r="F144" s="11"/>
      <c r="G144" s="11"/>
      <c r="H144" s="11">
        <v>2000</v>
      </c>
      <c r="I144" s="11"/>
      <c r="J144" s="11"/>
      <c r="K144" s="11"/>
      <c r="L144" s="11"/>
      <c r="M144" s="11"/>
      <c r="N144" s="11"/>
      <c r="O144" s="11"/>
      <c r="P144" s="11">
        <f t="shared" si="42"/>
        <v>2000</v>
      </c>
      <c r="Q144" s="12">
        <f t="shared" si="43"/>
        <v>166.66666666666666</v>
      </c>
      <c r="R144" s="5"/>
      <c r="S144" s="6"/>
    </row>
    <row r="145" spans="2:19" ht="14.4">
      <c r="B145" s="4"/>
      <c r="C145" s="13" t="s">
        <v>86</v>
      </c>
      <c r="D145" s="11"/>
      <c r="E145" s="11"/>
      <c r="F145" s="11"/>
      <c r="G145" s="11"/>
      <c r="H145" s="11">
        <v>1000</v>
      </c>
      <c r="I145" s="11"/>
      <c r="J145" s="11"/>
      <c r="K145" s="11"/>
      <c r="L145" s="11"/>
      <c r="M145" s="11"/>
      <c r="N145" s="11"/>
      <c r="O145" s="11"/>
      <c r="P145" s="11">
        <f t="shared" si="42"/>
        <v>1000</v>
      </c>
      <c r="Q145" s="12">
        <f t="shared" si="43"/>
        <v>83.333333333333329</v>
      </c>
      <c r="R145" s="5"/>
      <c r="S145" s="6"/>
    </row>
    <row r="146" spans="2:19" ht="14.4">
      <c r="B146" s="4"/>
      <c r="C146" s="13" t="s">
        <v>98</v>
      </c>
      <c r="D146" s="11"/>
      <c r="E146" s="11"/>
      <c r="F146" s="11"/>
      <c r="G146" s="11"/>
      <c r="H146" s="11">
        <v>500</v>
      </c>
      <c r="I146" s="11"/>
      <c r="J146" s="11"/>
      <c r="K146" s="11"/>
      <c r="L146" s="11"/>
      <c r="M146" s="11"/>
      <c r="N146" s="11"/>
      <c r="O146" s="11"/>
      <c r="P146" s="11">
        <f t="shared" si="42"/>
        <v>500</v>
      </c>
      <c r="Q146" s="12">
        <f t="shared" si="43"/>
        <v>41.666666666666664</v>
      </c>
      <c r="R146" s="5"/>
      <c r="S146" s="6"/>
    </row>
    <row r="147" spans="2:19" ht="14.4">
      <c r="B147" s="4"/>
      <c r="C147" s="13" t="s">
        <v>99</v>
      </c>
      <c r="D147" s="11"/>
      <c r="E147" s="11"/>
      <c r="F147" s="11"/>
      <c r="G147" s="11"/>
      <c r="H147" s="11">
        <v>500</v>
      </c>
      <c r="I147" s="11"/>
      <c r="J147" s="11"/>
      <c r="K147" s="11"/>
      <c r="L147" s="11"/>
      <c r="M147" s="11"/>
      <c r="N147" s="11"/>
      <c r="O147" s="11"/>
      <c r="P147" s="11">
        <f t="shared" si="42"/>
        <v>500</v>
      </c>
      <c r="Q147" s="12">
        <f t="shared" si="43"/>
        <v>41.666666666666664</v>
      </c>
      <c r="R147" s="5"/>
      <c r="S147" s="6"/>
    </row>
    <row r="148" spans="2:19" ht="14.4">
      <c r="B148" s="4"/>
      <c r="C148" s="13" t="s">
        <v>47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2"/>
      <c r="R148" s="5"/>
      <c r="S148" s="6"/>
    </row>
    <row r="149" spans="2:19" ht="14.4">
      <c r="B149" s="4"/>
      <c r="C149" s="13" t="str">
        <f>"Total "&amp;$A$132</f>
        <v xml:space="preserve">Total </v>
      </c>
      <c r="D149" s="38">
        <f t="shared" ref="D149:Q149" si="44">SUM(D143:D148)</f>
        <v>0</v>
      </c>
      <c r="E149" s="38">
        <f t="shared" si="44"/>
        <v>0</v>
      </c>
      <c r="F149" s="38">
        <f t="shared" si="44"/>
        <v>0</v>
      </c>
      <c r="G149" s="38">
        <f t="shared" si="44"/>
        <v>0</v>
      </c>
      <c r="H149" s="38">
        <f t="shared" si="44"/>
        <v>9000</v>
      </c>
      <c r="I149" s="38">
        <f t="shared" si="44"/>
        <v>0</v>
      </c>
      <c r="J149" s="38">
        <f t="shared" si="44"/>
        <v>0</v>
      </c>
      <c r="K149" s="38">
        <f t="shared" si="44"/>
        <v>0</v>
      </c>
      <c r="L149" s="38">
        <f t="shared" si="44"/>
        <v>0</v>
      </c>
      <c r="M149" s="38">
        <f t="shared" si="44"/>
        <v>0</v>
      </c>
      <c r="N149" s="38">
        <f t="shared" si="44"/>
        <v>0</v>
      </c>
      <c r="O149" s="38">
        <f t="shared" si="44"/>
        <v>0</v>
      </c>
      <c r="P149" s="38">
        <f t="shared" si="44"/>
        <v>9000</v>
      </c>
      <c r="Q149" s="39">
        <f t="shared" si="44"/>
        <v>750</v>
      </c>
      <c r="R149" s="5"/>
      <c r="S149" s="6"/>
    </row>
    <row r="150" spans="2:19" ht="14.4">
      <c r="B150" s="4"/>
      <c r="C150" s="19" t="s">
        <v>37</v>
      </c>
      <c r="D150" s="40">
        <f>D149/P149</f>
        <v>0</v>
      </c>
      <c r="E150" s="41">
        <f>E149/P149</f>
        <v>0</v>
      </c>
      <c r="F150" s="41">
        <f>F149/P149</f>
        <v>0</v>
      </c>
      <c r="G150" s="41">
        <f>G149/P149</f>
        <v>0</v>
      </c>
      <c r="H150" s="41">
        <f>H149/P149</f>
        <v>1</v>
      </c>
      <c r="I150" s="41">
        <f>I149/P149</f>
        <v>0</v>
      </c>
      <c r="J150" s="41">
        <f>J149/P149</f>
        <v>0</v>
      </c>
      <c r="K150" s="41">
        <f>K149/P149</f>
        <v>0</v>
      </c>
      <c r="L150" s="41">
        <f>L149/P149</f>
        <v>0</v>
      </c>
      <c r="M150" s="41">
        <f>M149/P149</f>
        <v>0</v>
      </c>
      <c r="N150" s="41">
        <f>N149/P149</f>
        <v>0</v>
      </c>
      <c r="O150" s="41">
        <f>O149/P149</f>
        <v>0</v>
      </c>
      <c r="P150" s="41">
        <f>P149/P149</f>
        <v>1</v>
      </c>
      <c r="Q150" s="42"/>
      <c r="R150" s="5"/>
      <c r="S150" s="6"/>
    </row>
    <row r="151" spans="2:19" ht="14.4">
      <c r="B151" s="4"/>
      <c r="C151" s="6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6"/>
      <c r="R151" s="5"/>
      <c r="S151" s="6"/>
    </row>
    <row r="152" spans="2:19" ht="14.4">
      <c r="B152" s="4"/>
      <c r="C152" s="35" t="s">
        <v>100</v>
      </c>
      <c r="D152" s="36" t="s">
        <v>2</v>
      </c>
      <c r="E152" s="37" t="s">
        <v>3</v>
      </c>
      <c r="F152" s="37" t="s">
        <v>4</v>
      </c>
      <c r="G152" s="37" t="s">
        <v>5</v>
      </c>
      <c r="H152" s="37" t="s">
        <v>6</v>
      </c>
      <c r="I152" s="37" t="s">
        <v>7</v>
      </c>
      <c r="J152" s="37" t="s">
        <v>8</v>
      </c>
      <c r="K152" s="37" t="s">
        <v>9</v>
      </c>
      <c r="L152" s="37" t="s">
        <v>10</v>
      </c>
      <c r="M152" s="37" t="s">
        <v>11</v>
      </c>
      <c r="N152" s="37" t="s">
        <v>12</v>
      </c>
      <c r="O152" s="37" t="s">
        <v>13</v>
      </c>
      <c r="P152" s="37" t="s">
        <v>25</v>
      </c>
      <c r="Q152" s="25" t="s">
        <v>26</v>
      </c>
      <c r="R152" s="5"/>
      <c r="S152" s="6"/>
    </row>
    <row r="153" spans="2:19" ht="14.4">
      <c r="B153" s="4"/>
      <c r="C153" s="13" t="s">
        <v>101</v>
      </c>
      <c r="D153" s="11"/>
      <c r="E153" s="11"/>
      <c r="F153" s="11">
        <v>1000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f t="shared" ref="P153:P155" si="45">SUM(D153:O153)</f>
        <v>1000</v>
      </c>
      <c r="Q153" s="12">
        <f t="shared" ref="Q153:Q155" si="46">P153/COLUMNS(D153:O153)</f>
        <v>83.333333333333329</v>
      </c>
      <c r="R153" s="5"/>
      <c r="S153" s="6"/>
    </row>
    <row r="154" spans="2:19" ht="14.4">
      <c r="B154" s="4"/>
      <c r="C154" s="13" t="s">
        <v>102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f t="shared" si="45"/>
        <v>0</v>
      </c>
      <c r="Q154" s="12">
        <f t="shared" si="46"/>
        <v>0</v>
      </c>
      <c r="R154" s="5"/>
      <c r="S154" s="6"/>
    </row>
    <row r="155" spans="2:19" ht="14.4">
      <c r="B155" s="4"/>
      <c r="C155" s="13" t="s">
        <v>47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f t="shared" si="45"/>
        <v>0</v>
      </c>
      <c r="Q155" s="12">
        <f t="shared" si="46"/>
        <v>0</v>
      </c>
      <c r="R155" s="5"/>
      <c r="S155" s="6"/>
    </row>
    <row r="156" spans="2:19" ht="14.4">
      <c r="B156" s="4"/>
      <c r="C156" s="45" t="str">
        <f>"Total "&amp;$A$142</f>
        <v xml:space="preserve">Total </v>
      </c>
      <c r="D156" s="38">
        <f t="shared" ref="D156:Q156" si="47">SUM(D153:D155)</f>
        <v>0</v>
      </c>
      <c r="E156" s="38">
        <f t="shared" si="47"/>
        <v>0</v>
      </c>
      <c r="F156" s="38">
        <f t="shared" si="47"/>
        <v>1000</v>
      </c>
      <c r="G156" s="38">
        <f t="shared" si="47"/>
        <v>0</v>
      </c>
      <c r="H156" s="38">
        <f t="shared" si="47"/>
        <v>0</v>
      </c>
      <c r="I156" s="38">
        <f t="shared" si="47"/>
        <v>0</v>
      </c>
      <c r="J156" s="38">
        <f t="shared" si="47"/>
        <v>0</v>
      </c>
      <c r="K156" s="38">
        <f t="shared" si="47"/>
        <v>0</v>
      </c>
      <c r="L156" s="38">
        <f t="shared" si="47"/>
        <v>0</v>
      </c>
      <c r="M156" s="38">
        <f t="shared" si="47"/>
        <v>0</v>
      </c>
      <c r="N156" s="38">
        <f t="shared" si="47"/>
        <v>0</v>
      </c>
      <c r="O156" s="38">
        <f t="shared" si="47"/>
        <v>0</v>
      </c>
      <c r="P156" s="38">
        <f t="shared" si="47"/>
        <v>1000</v>
      </c>
      <c r="Q156" s="39">
        <f t="shared" si="47"/>
        <v>83.333333333333329</v>
      </c>
      <c r="R156" s="5"/>
      <c r="S156" s="6"/>
    </row>
    <row r="157" spans="2:19" ht="14.4">
      <c r="B157" s="4"/>
      <c r="C157" s="19" t="s">
        <v>37</v>
      </c>
      <c r="D157" s="48">
        <f>D156/P156</f>
        <v>0</v>
      </c>
      <c r="E157" s="49">
        <f>E156/P156</f>
        <v>0</v>
      </c>
      <c r="F157" s="49">
        <f>F156/P156</f>
        <v>1</v>
      </c>
      <c r="G157" s="49">
        <f>G156/P156</f>
        <v>0</v>
      </c>
      <c r="H157" s="49">
        <f>H156/P156</f>
        <v>0</v>
      </c>
      <c r="I157" s="49">
        <f>I156/P156</f>
        <v>0</v>
      </c>
      <c r="J157" s="49">
        <f>J156/P156</f>
        <v>0</v>
      </c>
      <c r="K157" s="49">
        <f>K156/P156</f>
        <v>0</v>
      </c>
      <c r="L157" s="49">
        <f>L156/P156</f>
        <v>0</v>
      </c>
      <c r="M157" s="49">
        <f>M156/P156</f>
        <v>0</v>
      </c>
      <c r="N157" s="49">
        <f>N156/P156</f>
        <v>0</v>
      </c>
      <c r="O157" s="49">
        <f>O156/P156</f>
        <v>0</v>
      </c>
      <c r="P157" s="49">
        <f>P156/P156</f>
        <v>1</v>
      </c>
      <c r="Q157" s="42">
        <f>IF(Q$21=0," - ",Q156/Q$21)</f>
        <v>2.976190476190476E-3</v>
      </c>
      <c r="R157" s="5"/>
      <c r="S157" s="6"/>
    </row>
    <row r="158" spans="2:19" ht="14.4">
      <c r="B158" s="50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2"/>
      <c r="S158" s="6"/>
    </row>
    <row r="159" spans="2:19" ht="14.4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</sheetData>
  <mergeCells count="5">
    <mergeCell ref="C3:Q3"/>
    <mergeCell ref="J28:O28"/>
    <mergeCell ref="P28:Q28"/>
    <mergeCell ref="J29:O29"/>
    <mergeCell ref="P29:Q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3:B29"/>
  <sheetViews>
    <sheetView showGridLines="0" workbookViewId="0"/>
  </sheetViews>
  <sheetFormatPr defaultColWidth="12.6640625" defaultRowHeight="15.75" customHeight="1"/>
  <sheetData>
    <row r="23" spans="2:2">
      <c r="B23" s="53" t="s">
        <v>103</v>
      </c>
    </row>
    <row r="25" spans="2:2">
      <c r="B25" s="53" t="s">
        <v>104</v>
      </c>
    </row>
    <row r="26" spans="2:2">
      <c r="B26" s="53" t="s">
        <v>105</v>
      </c>
    </row>
    <row r="27" spans="2:2">
      <c r="B27" s="53" t="s">
        <v>106</v>
      </c>
    </row>
    <row r="29" spans="2:2">
      <c r="B29" s="53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Family Budget Worksheet Templat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Core i5 11thGen</cp:lastModifiedBy>
  <dcterms:modified xsi:type="dcterms:W3CDTF">2023-03-21T02:22:28Z</dcterms:modified>
</cp:coreProperties>
</file>