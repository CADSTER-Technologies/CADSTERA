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1DCBA849-81F0-461A-B35D-59EDC4C4404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sks" sheetId="1" r:id="rId1"/>
    <sheet name="Gantt Char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3" l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BJ7" i="3" s="1"/>
  <c r="BK7" i="3" s="1"/>
  <c r="BL7" i="3" s="1"/>
  <c r="BM7" i="3" s="1"/>
  <c r="BN7" i="3" s="1"/>
  <c r="BO7" i="3" s="1"/>
  <c r="BP7" i="3" s="1"/>
  <c r="BQ7" i="3" s="1"/>
  <c r="BR7" i="3" s="1"/>
  <c r="M7" i="3"/>
  <c r="L7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10" i="3"/>
  <c r="E11" i="3"/>
  <c r="E12" i="3"/>
  <c r="E13" i="3"/>
  <c r="E14" i="3"/>
  <c r="E15" i="3"/>
  <c r="E16" i="3"/>
  <c r="I16" i="3" s="1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10" i="3"/>
  <c r="H22" i="3"/>
  <c r="H21" i="3"/>
  <c r="H20" i="3"/>
  <c r="H16" i="3"/>
  <c r="H15" i="3"/>
  <c r="H14" i="3"/>
  <c r="H13" i="3"/>
  <c r="H12" i="3"/>
  <c r="I12" i="3"/>
  <c r="H11" i="3"/>
  <c r="H10" i="3"/>
  <c r="B9" i="3"/>
  <c r="I18" i="3" l="1"/>
  <c r="I20" i="3"/>
  <c r="I19" i="3"/>
  <c r="I10" i="3"/>
  <c r="I14" i="3"/>
  <c r="I21" i="3"/>
  <c r="I17" i="3"/>
  <c r="I22" i="3"/>
  <c r="K7" i="3"/>
  <c r="I11" i="3"/>
  <c r="I13" i="3"/>
  <c r="I15" i="3"/>
  <c r="G31" i="1" l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000-000001000000}">
      <text>
        <r>
          <rPr>
            <sz val="10"/>
            <color rgb="FF000000"/>
            <rFont val="Arial"/>
            <scheme val="minor"/>
          </rPr>
          <t>Simply select an entire row and drag down to add more tasks.</t>
        </r>
      </text>
    </comment>
    <comment ref="G6" authorId="0" shapeId="0" xr:uid="{00000000-0006-0000-0000-000002000000}">
      <text>
        <r>
          <rPr>
            <sz val="10"/>
            <color rgb="FF000000"/>
            <rFont val="Arial"/>
            <scheme val="minor"/>
          </rPr>
          <t>Auto Formulated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0" authorId="0" shapeId="0" xr:uid="{2D5F0DC4-FCA7-4A53-98AC-3E7C477B18D4}">
      <text>
        <r>
          <rPr>
            <sz val="10"/>
            <color rgb="FF000000"/>
            <rFont val="Arial"/>
            <family val="2"/>
            <scheme val="minor"/>
          </rPr>
          <t xml:space="preserve">PROGRESS BAR IS AUTOMATED BASED ON THE % COMPLETED COLOUMN
</t>
        </r>
      </text>
    </comment>
    <comment ref="I10" authorId="0" shapeId="0" xr:uid="{5870F191-46A1-41E0-8205-209B5BE39772}">
      <text>
        <r>
          <rPr>
            <sz val="10"/>
            <color rgb="FF000000"/>
            <rFont val="Arial"/>
            <family val="2"/>
            <scheme val="minor"/>
          </rPr>
          <t>DURATION IS AUTO FORMULATED BASED ON START AND END DATE</t>
        </r>
      </text>
    </comment>
  </commentList>
</comments>
</file>

<file path=xl/sharedStrings.xml><?xml version="1.0" encoding="utf-8"?>
<sst xmlns="http://schemas.openxmlformats.org/spreadsheetml/2006/main" count="92" uniqueCount="60">
  <si>
    <t xml:space="preserve"> TASKS</t>
  </si>
  <si>
    <t>Task ID</t>
  </si>
  <si>
    <t>Task Name</t>
  </si>
  <si>
    <t>Assigned To</t>
  </si>
  <si>
    <t>Start Date</t>
  </si>
  <si>
    <t>End Date</t>
  </si>
  <si>
    <t>Duration</t>
  </si>
  <si>
    <t>Status</t>
  </si>
  <si>
    <t>% Complete</t>
  </si>
  <si>
    <t>Progress</t>
  </si>
  <si>
    <t>Notes</t>
  </si>
  <si>
    <t>Market Research</t>
  </si>
  <si>
    <t>Research Team</t>
  </si>
  <si>
    <t>Completed</t>
  </si>
  <si>
    <t>Initial market analysis completed</t>
  </si>
  <si>
    <t>Product Conceptualization</t>
  </si>
  <si>
    <t>Product Team</t>
  </si>
  <si>
    <t>Ongoing</t>
  </si>
  <si>
    <t>Concept art in review</t>
  </si>
  <si>
    <t>Feasibility Study</t>
  </si>
  <si>
    <t>Analysis Team</t>
  </si>
  <si>
    <t>Awaiting final risk assessment</t>
  </si>
  <si>
    <t>Financial Planning</t>
  </si>
  <si>
    <t>Finance Department</t>
  </si>
  <si>
    <t>Not Started</t>
  </si>
  <si>
    <t>To begin after feasibility approval</t>
  </si>
  <si>
    <t>Prototype Development</t>
  </si>
  <si>
    <t>Engineering Team</t>
  </si>
  <si>
    <t>Materials being sourced</t>
  </si>
  <si>
    <t>Branding &amp; Identity Creation</t>
  </si>
  <si>
    <t>Marketing Department</t>
  </si>
  <si>
    <t>Logo finalized, color scheme in dev</t>
  </si>
  <si>
    <t>Testing Phase I</t>
  </si>
  <si>
    <t>QA Team</t>
  </si>
  <si>
    <t>Upcoming</t>
  </si>
  <si>
    <t>Scheduled after prototype dev</t>
  </si>
  <si>
    <t>Marketing Strategy</t>
  </si>
  <si>
    <t>Awaiting market research update</t>
  </si>
  <si>
    <t>Compliance Checks</t>
  </si>
  <si>
    <t>Legal Team</t>
  </si>
  <si>
    <t>Dependencies on final product specs</t>
  </si>
  <si>
    <t>Launch Event Planning</t>
  </si>
  <si>
    <t>Events Team</t>
  </si>
  <si>
    <t>Venue to be booked by 2050-10-01</t>
  </si>
  <si>
    <t/>
  </si>
  <si>
    <t>GANTT CHART</t>
  </si>
  <si>
    <t>💡</t>
  </si>
  <si>
    <t>THE CALENDAR SECTION OF THE GANTT CHART IS AUTO FORMULATED. NO NEED TO EDIT.</t>
  </si>
  <si>
    <t>TASK</t>
  </si>
  <si>
    <t>ASSIGNED TO</t>
  </si>
  <si>
    <t>START TIME</t>
  </si>
  <si>
    <t>END TIME</t>
  </si>
  <si>
    <t>STATUS</t>
  </si>
  <si>
    <t>% COMPLETE</t>
  </si>
  <si>
    <t>PROGRESS</t>
  </si>
  <si>
    <t>DURATION
(days)</t>
  </si>
  <si>
    <t>COMPLETED</t>
  </si>
  <si>
    <t>IN PROGRESS</t>
  </si>
  <si>
    <t>CHOOSE &amp; DOWNLOAD MORE TIMELINE TEMPLATES</t>
  </si>
  <si>
    <r>
      <t xml:space="preserve">© </t>
    </r>
    <r>
      <rPr>
        <b/>
        <u/>
        <sz val="11"/>
        <color rgb="FF1155CC"/>
        <rFont val="Lato"/>
        <family val="2"/>
      </rPr>
      <t>TEMPLATE.NET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</si>
</sst>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yyyy"/>
    <numFmt numFmtId="166" formatCode="mmmm&quot; &quot;d&quot;, &quot;yyyy"/>
    <numFmt numFmtId="167" formatCode="mmmm\ d\,\ yyyy"/>
    <numFmt numFmtId="168" formatCode="mm/dd/yyyy;@"/>
    <numFmt numFmtId="169" formatCode="[$-3409]dd\-mmm\-yy;@"/>
  </numFmts>
  <fonts count="19">
    <font>
      <sz val="10"/>
      <color rgb="FF000000"/>
      <name val="Arial"/>
      <scheme val="minor"/>
    </font>
    <font>
      <sz val="10"/>
      <color theme="1"/>
      <name val="Helvetica Neue"/>
    </font>
    <font>
      <b/>
      <sz val="20"/>
      <color theme="1"/>
      <name val="Helvetica Neue"/>
    </font>
    <font>
      <sz val="10"/>
      <name val="Arial"/>
    </font>
    <font>
      <b/>
      <sz val="11"/>
      <color theme="1"/>
      <name val="Helvetica Neue"/>
    </font>
    <font>
      <b/>
      <sz val="10"/>
      <color theme="1"/>
      <name val="Helvetica Neue"/>
    </font>
    <font>
      <sz val="10"/>
      <color rgb="FF000000"/>
      <name val="Arial"/>
      <family val="2"/>
      <scheme val="minor"/>
    </font>
    <font>
      <b/>
      <sz val="41"/>
      <color theme="1"/>
      <name val="Helvetica Neue"/>
    </font>
    <font>
      <b/>
      <sz val="10"/>
      <color rgb="FFFFFFFF"/>
      <name val="Helvetica Neue"/>
    </font>
    <font>
      <b/>
      <sz val="16"/>
      <color theme="1"/>
      <name val="Helvetica Neue"/>
    </font>
    <font>
      <sz val="16"/>
      <name val="Arial"/>
      <family val="2"/>
    </font>
    <font>
      <b/>
      <sz val="10"/>
      <color rgb="FF0000FF"/>
      <name val="Helvetica Neue"/>
    </font>
    <font>
      <b/>
      <sz val="19"/>
      <color theme="1"/>
      <name val="Helvetica Neue"/>
    </font>
    <font>
      <sz val="10"/>
      <name val="Arial"/>
      <family val="2"/>
    </font>
    <font>
      <b/>
      <sz val="12"/>
      <color theme="1"/>
      <name val="Helvetica Neue"/>
    </font>
    <font>
      <b/>
      <sz val="9"/>
      <color theme="1"/>
      <name val="Helvetica Neue"/>
    </font>
    <font>
      <b/>
      <sz val="11"/>
      <color rgb="FF000000"/>
      <name val="Lato"/>
      <family val="2"/>
    </font>
    <font>
      <b/>
      <u/>
      <sz val="11"/>
      <color rgb="FF202124"/>
      <name val="Lato"/>
      <family val="2"/>
    </font>
    <font>
      <b/>
      <u/>
      <sz val="11"/>
      <color rgb="FF1155CC"/>
      <name val="Lato"/>
      <family val="2"/>
    </font>
  </fonts>
  <fills count="16">
    <fill>
      <patternFill patternType="none"/>
    </fill>
    <fill>
      <patternFill patternType="gray125"/>
    </fill>
    <fill>
      <patternFill patternType="solid">
        <fgColor rgb="FFFCF8E8"/>
        <bgColor rgb="FFFCF8E8"/>
      </patternFill>
    </fill>
    <fill>
      <patternFill patternType="solid">
        <fgColor rgb="FFE0F9FF"/>
        <bgColor rgb="FFE0F9FF"/>
      </patternFill>
    </fill>
    <fill>
      <patternFill patternType="solid">
        <fgColor rgb="FFBFE1F6"/>
        <bgColor rgb="FFBFE1F6"/>
      </patternFill>
    </fill>
    <fill>
      <patternFill patternType="solid">
        <fgColor rgb="FFFFE4E1"/>
        <bgColor rgb="FFFFE4E1"/>
      </patternFill>
    </fill>
    <fill>
      <patternFill patternType="solid">
        <fgColor rgb="FFB5EAD7"/>
        <bgColor rgb="FFB5EAD7"/>
      </patternFill>
    </fill>
    <fill>
      <patternFill patternType="solid">
        <fgColor rgb="FFFDE2E4"/>
        <bgColor rgb="FFFDE2E4"/>
      </patternFill>
    </fill>
    <fill>
      <patternFill patternType="solid">
        <fgColor rgb="FFE9D2F4"/>
        <bgColor rgb="FFE9D2F4"/>
      </patternFill>
    </fill>
    <fill>
      <patternFill patternType="solid">
        <fgColor rgb="FFF9FDD7"/>
        <bgColor rgb="FFF9FDD7"/>
      </patternFill>
    </fill>
    <fill>
      <patternFill patternType="solid">
        <fgColor rgb="FFFFDEDE"/>
        <bgColor rgb="FFFFDEDE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theme="6" tint="0.59999389629810485"/>
        <bgColor rgb="FFE8DAE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rgb="FF999999"/>
      </right>
      <top/>
      <bottom style="thin">
        <color rgb="FFD9D9D9"/>
      </bottom>
      <diagonal/>
    </border>
    <border>
      <left style="medium">
        <color rgb="FF99999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999999"/>
      </right>
      <top style="thin">
        <color rgb="FFD9D9D9"/>
      </top>
      <bottom style="thin">
        <color rgb="FFD9D9D9"/>
      </bottom>
      <diagonal/>
    </border>
    <border>
      <left style="medium">
        <color rgb="FF999999"/>
      </left>
      <right style="thin">
        <color rgb="FFD9D9D9"/>
      </right>
      <top style="thin">
        <color rgb="FFD9D9D9"/>
      </top>
      <bottom style="medium">
        <color rgb="FF99999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999999"/>
      </bottom>
      <diagonal/>
    </border>
    <border>
      <left style="thin">
        <color rgb="FFD9D9D9"/>
      </left>
      <right style="thin">
        <color rgb="FFD9D9D9"/>
      </right>
      <top/>
      <bottom style="thin">
        <color rgb="FF999999"/>
      </bottom>
      <diagonal/>
    </border>
    <border>
      <left style="thin">
        <color rgb="FFD9D9D9"/>
      </left>
      <right style="medium">
        <color rgb="FF999999"/>
      </right>
      <top style="thin">
        <color rgb="FFD9D9D9"/>
      </top>
      <bottom style="medium">
        <color rgb="FF999999"/>
      </bottom>
      <diagonal/>
    </border>
    <border>
      <left/>
      <right/>
      <top/>
      <bottom style="medium">
        <color theme="3" tint="0.499984740745262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6" fillId="0" borderId="0"/>
  </cellStyleXfs>
  <cellXfs count="7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0" xfId="1" applyFont="1"/>
    <xf numFmtId="0" fontId="6" fillId="0" borderId="0" xfId="1"/>
    <xf numFmtId="165" fontId="2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8" fillId="12" borderId="0" xfId="1" applyFont="1" applyFill="1" applyAlignment="1">
      <alignment horizontal="center" vertical="center"/>
    </xf>
    <xf numFmtId="0" fontId="1" fillId="0" borderId="21" xfId="1" applyFont="1" applyBorder="1"/>
    <xf numFmtId="0" fontId="1" fillId="0" borderId="21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10" fontId="1" fillId="0" borderId="21" xfId="1" applyNumberFormat="1" applyFont="1" applyBorder="1" applyAlignment="1">
      <alignment horizontal="center" vertical="center"/>
    </xf>
    <xf numFmtId="0" fontId="1" fillId="0" borderId="23" xfId="1" applyFont="1" applyBorder="1"/>
    <xf numFmtId="168" fontId="1" fillId="0" borderId="21" xfId="1" applyNumberFormat="1" applyFont="1" applyBorder="1" applyAlignment="1">
      <alignment horizontal="center" vertical="center"/>
    </xf>
    <xf numFmtId="0" fontId="1" fillId="0" borderId="22" xfId="1" applyNumberFormat="1" applyFont="1" applyBorder="1" applyAlignment="1">
      <alignment horizontal="center" vertical="center"/>
    </xf>
    <xf numFmtId="0" fontId="1" fillId="0" borderId="23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ont="1" applyAlignment="1"/>
    <xf numFmtId="0" fontId="3" fillId="0" borderId="5" xfId="0" applyFont="1" applyBorder="1"/>
    <xf numFmtId="0" fontId="16" fillId="0" borderId="0" xfId="1" applyFont="1" applyAlignment="1">
      <alignment horizontal="right"/>
    </xf>
    <xf numFmtId="0" fontId="17" fillId="15" borderId="0" xfId="1" applyFont="1" applyFill="1"/>
    <xf numFmtId="0" fontId="6" fillId="0" borderId="0" xfId="1"/>
    <xf numFmtId="0" fontId="1" fillId="0" borderId="22" xfId="1" applyNumberFormat="1" applyFont="1" applyBorder="1" applyAlignment="1">
      <alignment horizontal="center" vertical="center"/>
    </xf>
    <xf numFmtId="0" fontId="1" fillId="0" borderId="23" xfId="1" applyNumberFormat="1" applyFont="1" applyBorder="1" applyAlignment="1">
      <alignment horizontal="center" vertical="center"/>
    </xf>
    <xf numFmtId="0" fontId="13" fillId="0" borderId="23" xfId="1" applyNumberFormat="1" applyFont="1" applyBorder="1"/>
    <xf numFmtId="169" fontId="5" fillId="0" borderId="18" xfId="1" applyNumberFormat="1" applyFont="1" applyBorder="1" applyAlignment="1">
      <alignment horizontal="center" vertical="center" textRotation="90"/>
    </xf>
    <xf numFmtId="169" fontId="13" fillId="0" borderId="19" xfId="1" applyNumberFormat="1" applyFont="1" applyBorder="1"/>
    <xf numFmtId="169" fontId="13" fillId="0" borderId="20" xfId="1" applyNumberFormat="1" applyFont="1" applyBorder="1"/>
    <xf numFmtId="0" fontId="8" fillId="12" borderId="0" xfId="1" applyFont="1" applyFill="1" applyAlignment="1">
      <alignment horizontal="center" vertical="center"/>
    </xf>
    <xf numFmtId="167" fontId="4" fillId="13" borderId="0" xfId="1" applyNumberFormat="1" applyFont="1" applyFill="1" applyAlignment="1">
      <alignment horizontal="left" vertical="center"/>
    </xf>
    <xf numFmtId="0" fontId="6" fillId="14" borderId="0" xfId="1" applyFill="1" applyAlignment="1">
      <alignment horizontal="left"/>
    </xf>
    <xf numFmtId="167" fontId="14" fillId="0" borderId="0" xfId="1" applyNumberFormat="1" applyFont="1" applyAlignment="1">
      <alignment horizontal="center" vertical="center"/>
    </xf>
    <xf numFmtId="167" fontId="14" fillId="0" borderId="17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0" fontId="10" fillId="0" borderId="0" xfId="1" applyFont="1"/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3" fillId="0" borderId="0" xfId="1" applyFont="1"/>
    <xf numFmtId="0" fontId="17" fillId="0" borderId="0" xfId="0" applyFont="1" applyAlignment="1"/>
    <xf numFmtId="0" fontId="18" fillId="0" borderId="0" xfId="0" applyFont="1" applyAlignment="1">
      <alignment horizontal="right" wrapText="1"/>
    </xf>
  </cellXfs>
  <cellStyles count="2">
    <cellStyle name="Normal" xfId="0" builtinId="0"/>
    <cellStyle name="Normal 2" xfId="1" xr:uid="{4D653C0C-C8D8-4829-B55C-1962CD97739D}"/>
  </cellStyles>
  <dxfs count="8">
    <dxf>
      <fill>
        <patternFill>
          <bgColor theme="6" tint="0.39994506668294322"/>
        </patternFill>
      </fill>
    </dxf>
    <dxf>
      <fill>
        <patternFill patternType="solid">
          <fgColor rgb="FFE8DAEF"/>
          <bgColor theme="6" tint="0.79998168889431442"/>
        </patternFill>
      </fill>
    </dxf>
    <dxf>
      <font>
        <color theme="1"/>
      </font>
      <fill>
        <patternFill patternType="solid">
          <fgColor rgb="FF8509C3"/>
          <bgColor theme="6" tint="0.59996337778862885"/>
        </patternFill>
      </fill>
    </dxf>
    <dxf>
      <font>
        <color theme="1"/>
      </font>
      <fill>
        <patternFill patternType="solid">
          <fgColor rgb="FF310348"/>
          <bgColor theme="6" tint="0.39994506668294322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</font>
      <fill>
        <patternFill patternType="solid">
          <fgColor rgb="FFFFE4E1"/>
          <bgColor rgb="FFFFE4E1"/>
        </patternFill>
      </fill>
    </dxf>
    <dxf>
      <font>
        <b/>
      </font>
      <fill>
        <patternFill patternType="solid">
          <fgColor rgb="FFFCE5CD"/>
          <bgColor rgb="FFFCE5CD"/>
        </patternFill>
      </fill>
    </dxf>
    <dxf>
      <font>
        <b/>
      </font>
      <fill>
        <patternFill patternType="solid">
          <fgColor rgb="FFB5EAD7"/>
          <bgColor rgb="FFB5EA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3"/>
  <sheetViews>
    <sheetView showGridLines="0" tabSelected="1" workbookViewId="0">
      <selection activeCell="H38" sqref="H38"/>
    </sheetView>
  </sheetViews>
  <sheetFormatPr defaultColWidth="12.5703125" defaultRowHeight="15.75" customHeight="1"/>
  <cols>
    <col min="1" max="1" width="3" customWidth="1"/>
    <col min="2" max="2" width="9.140625" customWidth="1"/>
    <col min="3" max="4" width="25" customWidth="1"/>
    <col min="5" max="7" width="17.5703125" customWidth="1"/>
    <col min="8" max="8" width="17.42578125" customWidth="1"/>
    <col min="9" max="9" width="10.85546875" customWidth="1"/>
    <col min="10" max="10" width="15.42578125" customWidth="1"/>
    <col min="11" max="11" width="38.42578125" customWidth="1"/>
    <col min="12" max="12" width="3" customWidth="1"/>
  </cols>
  <sheetData>
    <row r="1" spans="1:12" ht="12.7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</row>
    <row r="2" spans="1:12" ht="12.75">
      <c r="A2" s="1"/>
      <c r="B2" s="49" t="s">
        <v>0</v>
      </c>
      <c r="C2" s="50"/>
      <c r="D2" s="50"/>
      <c r="E2" s="50"/>
      <c r="F2" s="50"/>
      <c r="G2" s="50"/>
      <c r="H2" s="50"/>
      <c r="I2" s="50"/>
      <c r="J2" s="50"/>
      <c r="K2" s="51"/>
      <c r="L2" s="1"/>
    </row>
    <row r="3" spans="1:12" ht="12.7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L3" s="1"/>
    </row>
    <row r="4" spans="1:12" ht="12.7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L4" s="1"/>
    </row>
    <row r="5" spans="1:12" ht="4.5" customHeight="1">
      <c r="A5" s="1"/>
      <c r="B5" s="3"/>
      <c r="C5" s="1"/>
      <c r="D5" s="1"/>
      <c r="E5" s="1"/>
      <c r="F5" s="1"/>
      <c r="G5" s="1"/>
      <c r="H5" s="1"/>
      <c r="I5" s="1"/>
      <c r="J5" s="1"/>
      <c r="K5" s="4"/>
      <c r="L5" s="1"/>
    </row>
    <row r="6" spans="1:12" ht="24" customHeight="1">
      <c r="A6" s="1"/>
      <c r="B6" s="5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1"/>
    </row>
    <row r="7" spans="1:12" ht="12.75">
      <c r="A7" s="1"/>
      <c r="B7" s="8">
        <v>1</v>
      </c>
      <c r="C7" s="9" t="s">
        <v>11</v>
      </c>
      <c r="D7" s="10" t="s">
        <v>12</v>
      </c>
      <c r="E7" s="11">
        <v>54940</v>
      </c>
      <c r="F7" s="11">
        <v>54953</v>
      </c>
      <c r="G7" s="9" t="str">
        <f t="shared" ref="G7:G31" si="0">IF(B7="","",(F7-E7)+1  &amp; " DAYS")</f>
        <v>14 DAYS</v>
      </c>
      <c r="H7" s="9" t="s">
        <v>13</v>
      </c>
      <c r="I7" s="12">
        <v>1</v>
      </c>
      <c r="J7" s="12" t="str">
        <f ca="1">IFERROR(__xludf.DUMMYFUNCTION("IFERROR(SPARKLINE(I7,{""charttype"",""bar"";""max"",1;""min"",0;""color1"",""#f9ebb2""}))"),"")</f>
        <v/>
      </c>
      <c r="K7" s="13" t="s">
        <v>14</v>
      </c>
      <c r="L7" s="1"/>
    </row>
    <row r="8" spans="1:12" ht="12.75">
      <c r="A8" s="1"/>
      <c r="B8" s="14">
        <v>2</v>
      </c>
      <c r="C8" s="15" t="s">
        <v>15</v>
      </c>
      <c r="D8" s="16" t="s">
        <v>16</v>
      </c>
      <c r="E8" s="17">
        <v>54954</v>
      </c>
      <c r="F8" s="17">
        <v>54974</v>
      </c>
      <c r="G8" s="9" t="str">
        <f t="shared" si="0"/>
        <v>21 DAYS</v>
      </c>
      <c r="H8" s="15" t="s">
        <v>17</v>
      </c>
      <c r="I8" s="18">
        <v>0.6</v>
      </c>
      <c r="J8" s="18" t="str">
        <f ca="1">IFERROR(__xludf.DUMMYFUNCTION("IFERROR(SPARKLINE(I8,{""charttype"",""bar"";""max"",1;""min"",0;""color1"",""#f9ebb2""}))"),"")</f>
        <v/>
      </c>
      <c r="K8" s="19" t="s">
        <v>18</v>
      </c>
      <c r="L8" s="1"/>
    </row>
    <row r="9" spans="1:12" ht="12.75">
      <c r="A9" s="1"/>
      <c r="B9" s="14">
        <v>3</v>
      </c>
      <c r="C9" s="15" t="s">
        <v>19</v>
      </c>
      <c r="D9" s="20" t="s">
        <v>20</v>
      </c>
      <c r="E9" s="17">
        <v>54949</v>
      </c>
      <c r="F9" s="17">
        <v>54979</v>
      </c>
      <c r="G9" s="9" t="str">
        <f t="shared" si="0"/>
        <v>31 DAYS</v>
      </c>
      <c r="H9" s="15" t="s">
        <v>17</v>
      </c>
      <c r="I9" s="18">
        <v>0.5</v>
      </c>
      <c r="J9" s="18" t="str">
        <f ca="1">IFERROR(__xludf.DUMMYFUNCTION("IFERROR(SPARKLINE(I9,{""charttype"",""bar"";""max"",1;""min"",0;""color1"",""#f9ebb2""}))"),"")</f>
        <v/>
      </c>
      <c r="K9" s="19" t="s">
        <v>21</v>
      </c>
      <c r="L9" s="1"/>
    </row>
    <row r="10" spans="1:12" ht="12.75">
      <c r="A10" s="1"/>
      <c r="B10" s="14">
        <v>4</v>
      </c>
      <c r="C10" s="15" t="s">
        <v>22</v>
      </c>
      <c r="D10" s="21" t="s">
        <v>23</v>
      </c>
      <c r="E10" s="17">
        <v>54980</v>
      </c>
      <c r="F10" s="17">
        <v>55001</v>
      </c>
      <c r="G10" s="9" t="str">
        <f t="shared" si="0"/>
        <v>22 DAYS</v>
      </c>
      <c r="H10" s="15" t="s">
        <v>24</v>
      </c>
      <c r="I10" s="18">
        <v>0</v>
      </c>
      <c r="J10" s="18" t="str">
        <f ca="1">IFERROR(__xludf.DUMMYFUNCTION("IFERROR(SPARKLINE(I10,{""charttype"",""bar"";""max"",1;""min"",0;""color1"",""#f9ebb2""}))"),"")</f>
        <v/>
      </c>
      <c r="K10" s="19" t="s">
        <v>25</v>
      </c>
      <c r="L10" s="1"/>
    </row>
    <row r="11" spans="1:12" ht="12.75">
      <c r="A11" s="1"/>
      <c r="B11" s="14">
        <v>5</v>
      </c>
      <c r="C11" s="15" t="s">
        <v>26</v>
      </c>
      <c r="D11" s="22" t="s">
        <v>27</v>
      </c>
      <c r="E11" s="17">
        <v>55002</v>
      </c>
      <c r="F11" s="17">
        <v>55046</v>
      </c>
      <c r="G11" s="9" t="str">
        <f t="shared" si="0"/>
        <v>45 DAYS</v>
      </c>
      <c r="H11" s="15" t="s">
        <v>24</v>
      </c>
      <c r="I11" s="18">
        <v>0</v>
      </c>
      <c r="J11" s="18" t="str">
        <f ca="1">IFERROR(__xludf.DUMMYFUNCTION("IFERROR(SPARKLINE(I11,{""charttype"",""bar"";""max"",1;""min"",0;""color1"",""#f9ebb2""}))"),"")</f>
        <v/>
      </c>
      <c r="K11" s="19" t="s">
        <v>28</v>
      </c>
      <c r="L11" s="1"/>
    </row>
    <row r="12" spans="1:12" ht="12.75">
      <c r="A12" s="1"/>
      <c r="B12" s="14">
        <v>6</v>
      </c>
      <c r="C12" s="15" t="s">
        <v>29</v>
      </c>
      <c r="D12" s="23" t="s">
        <v>30</v>
      </c>
      <c r="E12" s="17">
        <v>54975</v>
      </c>
      <c r="F12" s="17">
        <v>55010</v>
      </c>
      <c r="G12" s="9" t="str">
        <f t="shared" si="0"/>
        <v>36 DAYS</v>
      </c>
      <c r="H12" s="15" t="s">
        <v>17</v>
      </c>
      <c r="I12" s="18">
        <v>0.3</v>
      </c>
      <c r="J12" s="18" t="str">
        <f ca="1">IFERROR(__xludf.DUMMYFUNCTION("IFERROR(SPARKLINE(I12,{""charttype"",""bar"";""max"",1;""min"",0;""color1"",""#f9ebb2""}))"),"")</f>
        <v/>
      </c>
      <c r="K12" s="19" t="s">
        <v>31</v>
      </c>
      <c r="L12" s="1"/>
    </row>
    <row r="13" spans="1:12" ht="12.75">
      <c r="A13" s="1"/>
      <c r="B13" s="14">
        <v>7</v>
      </c>
      <c r="C13" s="15" t="s">
        <v>32</v>
      </c>
      <c r="D13" s="24" t="s">
        <v>33</v>
      </c>
      <c r="E13" s="17">
        <v>55047</v>
      </c>
      <c r="F13" s="17">
        <v>55077</v>
      </c>
      <c r="G13" s="9" t="str">
        <f t="shared" si="0"/>
        <v>31 DAYS</v>
      </c>
      <c r="H13" s="15" t="s">
        <v>34</v>
      </c>
      <c r="I13" s="18">
        <v>0</v>
      </c>
      <c r="J13" s="18" t="str">
        <f ca="1">IFERROR(__xludf.DUMMYFUNCTION("IFERROR(SPARKLINE(I13,{""charttype"",""bar"";""max"",1;""min"",0;""color1"",""#f9ebb2""}))"),"")</f>
        <v/>
      </c>
      <c r="K13" s="19" t="s">
        <v>35</v>
      </c>
      <c r="L13" s="1"/>
    </row>
    <row r="14" spans="1:12" ht="12.75">
      <c r="A14" s="1"/>
      <c r="B14" s="14">
        <v>8</v>
      </c>
      <c r="C14" s="15" t="s">
        <v>36</v>
      </c>
      <c r="D14" s="25" t="s">
        <v>30</v>
      </c>
      <c r="E14" s="17">
        <v>55062</v>
      </c>
      <c r="F14" s="17">
        <v>55093</v>
      </c>
      <c r="G14" s="9" t="str">
        <f t="shared" si="0"/>
        <v>32 DAYS</v>
      </c>
      <c r="H14" s="15" t="s">
        <v>34</v>
      </c>
      <c r="I14" s="18">
        <v>0</v>
      </c>
      <c r="J14" s="18" t="str">
        <f ca="1">IFERROR(__xludf.DUMMYFUNCTION("IFERROR(SPARKLINE(I14,{""charttype"",""bar"";""max"",1;""min"",0;""color1"",""#f9ebb2""}))"),"")</f>
        <v/>
      </c>
      <c r="K14" s="19" t="s">
        <v>37</v>
      </c>
      <c r="L14" s="1"/>
    </row>
    <row r="15" spans="1:12" ht="12.75">
      <c r="A15" s="1"/>
      <c r="B15" s="14">
        <v>9</v>
      </c>
      <c r="C15" s="15" t="s">
        <v>38</v>
      </c>
      <c r="D15" s="26" t="s">
        <v>39</v>
      </c>
      <c r="E15" s="17">
        <v>55032</v>
      </c>
      <c r="F15" s="17">
        <v>55066</v>
      </c>
      <c r="G15" s="9" t="str">
        <f t="shared" si="0"/>
        <v>35 DAYS</v>
      </c>
      <c r="H15" s="15" t="s">
        <v>34</v>
      </c>
      <c r="I15" s="18">
        <v>0</v>
      </c>
      <c r="J15" s="18" t="str">
        <f ca="1">IFERROR(__xludf.DUMMYFUNCTION("IFERROR(SPARKLINE(I15,{""charttype"",""bar"";""max"",1;""min"",0;""color1"",""#f9ebb2""}))"),"")</f>
        <v/>
      </c>
      <c r="K15" s="19" t="s">
        <v>40</v>
      </c>
      <c r="L15" s="1"/>
    </row>
    <row r="16" spans="1:12" ht="12.75">
      <c r="A16" s="1"/>
      <c r="B16" s="14">
        <v>10</v>
      </c>
      <c r="C16" s="15" t="s">
        <v>41</v>
      </c>
      <c r="D16" s="27" t="s">
        <v>42</v>
      </c>
      <c r="E16" s="17">
        <v>55094</v>
      </c>
      <c r="F16" s="17">
        <v>55117</v>
      </c>
      <c r="G16" s="9" t="str">
        <f t="shared" si="0"/>
        <v>24 DAYS</v>
      </c>
      <c r="H16" s="15" t="s">
        <v>34</v>
      </c>
      <c r="I16" s="18">
        <v>0</v>
      </c>
      <c r="J16" s="18" t="str">
        <f ca="1">IFERROR(__xludf.DUMMYFUNCTION("IFERROR(SPARKLINE(I16,{""charttype"",""bar"";""max"",1;""min"",0;""color1"",""#f9ebb2""}))"),"")</f>
        <v/>
      </c>
      <c r="K16" s="19" t="s">
        <v>43</v>
      </c>
      <c r="L16" s="1"/>
    </row>
    <row r="17" spans="1:12" ht="12.75">
      <c r="A17" s="1"/>
      <c r="B17" s="28"/>
      <c r="C17" s="29"/>
      <c r="D17" s="29"/>
      <c r="E17" s="29"/>
      <c r="F17" s="29"/>
      <c r="G17" s="9" t="str">
        <f t="shared" si="0"/>
        <v/>
      </c>
      <c r="H17" s="29"/>
      <c r="I17" s="29"/>
      <c r="J17" s="18" t="s">
        <v>44</v>
      </c>
      <c r="K17" s="30"/>
      <c r="L17" s="1"/>
    </row>
    <row r="18" spans="1:12" ht="12.75">
      <c r="A18" s="1"/>
      <c r="B18" s="28"/>
      <c r="C18" s="29"/>
      <c r="D18" s="29"/>
      <c r="E18" s="29"/>
      <c r="F18" s="29"/>
      <c r="G18" s="9" t="str">
        <f t="shared" si="0"/>
        <v/>
      </c>
      <c r="H18" s="29"/>
      <c r="I18" s="29"/>
      <c r="J18" s="18" t="s">
        <v>44</v>
      </c>
      <c r="K18" s="30"/>
      <c r="L18" s="1"/>
    </row>
    <row r="19" spans="1:12" ht="12.75">
      <c r="A19" s="1"/>
      <c r="B19" s="28"/>
      <c r="C19" s="29"/>
      <c r="D19" s="29"/>
      <c r="E19" s="29"/>
      <c r="F19" s="29"/>
      <c r="G19" s="9" t="str">
        <f t="shared" si="0"/>
        <v/>
      </c>
      <c r="H19" s="29"/>
      <c r="I19" s="29"/>
      <c r="J19" s="18" t="s">
        <v>44</v>
      </c>
      <c r="K19" s="30"/>
      <c r="L19" s="1"/>
    </row>
    <row r="20" spans="1:12" ht="12.75">
      <c r="A20" s="1"/>
      <c r="B20" s="28"/>
      <c r="C20" s="29"/>
      <c r="D20" s="29"/>
      <c r="E20" s="29"/>
      <c r="F20" s="29"/>
      <c r="G20" s="9" t="str">
        <f t="shared" si="0"/>
        <v/>
      </c>
      <c r="H20" s="29"/>
      <c r="I20" s="29"/>
      <c r="J20" s="18" t="s">
        <v>44</v>
      </c>
      <c r="K20" s="30"/>
      <c r="L20" s="1"/>
    </row>
    <row r="21" spans="1:12" ht="12.75">
      <c r="A21" s="1"/>
      <c r="B21" s="28"/>
      <c r="C21" s="29"/>
      <c r="D21" s="29"/>
      <c r="E21" s="29"/>
      <c r="F21" s="29"/>
      <c r="G21" s="9" t="str">
        <f t="shared" si="0"/>
        <v/>
      </c>
      <c r="H21" s="29"/>
      <c r="I21" s="29"/>
      <c r="J21" s="18" t="s">
        <v>44</v>
      </c>
      <c r="K21" s="30"/>
      <c r="L21" s="1"/>
    </row>
    <row r="22" spans="1:12" ht="12.75">
      <c r="A22" s="1"/>
      <c r="B22" s="28"/>
      <c r="C22" s="29"/>
      <c r="D22" s="29"/>
      <c r="E22" s="29"/>
      <c r="F22" s="29"/>
      <c r="G22" s="9" t="str">
        <f t="shared" si="0"/>
        <v/>
      </c>
      <c r="H22" s="29"/>
      <c r="I22" s="29"/>
      <c r="J22" s="18" t="s">
        <v>44</v>
      </c>
      <c r="K22" s="30"/>
      <c r="L22" s="1"/>
    </row>
    <row r="23" spans="1:12" ht="12.75">
      <c r="A23" s="1"/>
      <c r="B23" s="28"/>
      <c r="C23" s="29"/>
      <c r="D23" s="29"/>
      <c r="E23" s="29"/>
      <c r="F23" s="29"/>
      <c r="G23" s="9" t="str">
        <f t="shared" si="0"/>
        <v/>
      </c>
      <c r="H23" s="29"/>
      <c r="I23" s="29"/>
      <c r="J23" s="18" t="s">
        <v>44</v>
      </c>
      <c r="K23" s="30"/>
      <c r="L23" s="1"/>
    </row>
    <row r="24" spans="1:12" ht="12.75">
      <c r="A24" s="1"/>
      <c r="B24" s="28"/>
      <c r="C24" s="29"/>
      <c r="D24" s="29"/>
      <c r="E24" s="29"/>
      <c r="F24" s="29"/>
      <c r="G24" s="9" t="str">
        <f t="shared" si="0"/>
        <v/>
      </c>
      <c r="H24" s="29"/>
      <c r="I24" s="29"/>
      <c r="J24" s="18" t="s">
        <v>44</v>
      </c>
      <c r="K24" s="30"/>
      <c r="L24" s="1"/>
    </row>
    <row r="25" spans="1:12" ht="12.75">
      <c r="A25" s="1"/>
      <c r="B25" s="28"/>
      <c r="C25" s="29"/>
      <c r="D25" s="29"/>
      <c r="E25" s="29"/>
      <c r="F25" s="29"/>
      <c r="G25" s="9" t="str">
        <f t="shared" si="0"/>
        <v/>
      </c>
      <c r="H25" s="29"/>
      <c r="I25" s="29"/>
      <c r="J25" s="18" t="s">
        <v>44</v>
      </c>
      <c r="K25" s="30"/>
      <c r="L25" s="1"/>
    </row>
    <row r="26" spans="1:12" ht="12.75">
      <c r="A26" s="1"/>
      <c r="B26" s="28"/>
      <c r="C26" s="29"/>
      <c r="D26" s="29"/>
      <c r="E26" s="29"/>
      <c r="F26" s="29"/>
      <c r="G26" s="9" t="str">
        <f t="shared" si="0"/>
        <v/>
      </c>
      <c r="H26" s="29"/>
      <c r="I26" s="29"/>
      <c r="J26" s="18" t="s">
        <v>44</v>
      </c>
      <c r="K26" s="30"/>
      <c r="L26" s="1"/>
    </row>
    <row r="27" spans="1:12" ht="12.75">
      <c r="A27" s="1"/>
      <c r="B27" s="28"/>
      <c r="C27" s="29"/>
      <c r="D27" s="29"/>
      <c r="E27" s="29"/>
      <c r="F27" s="29"/>
      <c r="G27" s="9" t="str">
        <f t="shared" si="0"/>
        <v/>
      </c>
      <c r="H27" s="29"/>
      <c r="I27" s="29"/>
      <c r="J27" s="18" t="s">
        <v>44</v>
      </c>
      <c r="K27" s="30"/>
      <c r="L27" s="1"/>
    </row>
    <row r="28" spans="1:12" ht="12.75">
      <c r="A28" s="1"/>
      <c r="B28" s="28"/>
      <c r="C28" s="29"/>
      <c r="D28" s="29"/>
      <c r="E28" s="29"/>
      <c r="F28" s="29"/>
      <c r="G28" s="9" t="str">
        <f t="shared" si="0"/>
        <v/>
      </c>
      <c r="H28" s="29"/>
      <c r="I28" s="29"/>
      <c r="J28" s="18" t="s">
        <v>44</v>
      </c>
      <c r="K28" s="30"/>
      <c r="L28" s="1"/>
    </row>
    <row r="29" spans="1:12" ht="12.75">
      <c r="A29" s="1"/>
      <c r="B29" s="28"/>
      <c r="C29" s="29"/>
      <c r="D29" s="29"/>
      <c r="E29" s="29"/>
      <c r="F29" s="29"/>
      <c r="G29" s="9" t="str">
        <f t="shared" si="0"/>
        <v/>
      </c>
      <c r="H29" s="29"/>
      <c r="I29" s="29"/>
      <c r="J29" s="18" t="s">
        <v>44</v>
      </c>
      <c r="K29" s="30"/>
      <c r="L29" s="1"/>
    </row>
    <row r="30" spans="1:12" ht="12.75">
      <c r="A30" s="1"/>
      <c r="B30" s="28"/>
      <c r="C30" s="29"/>
      <c r="D30" s="29"/>
      <c r="E30" s="29"/>
      <c r="F30" s="29"/>
      <c r="G30" s="9" t="str">
        <f t="shared" si="0"/>
        <v/>
      </c>
      <c r="H30" s="29"/>
      <c r="I30" s="29"/>
      <c r="J30" s="18" t="s">
        <v>44</v>
      </c>
      <c r="K30" s="30"/>
      <c r="L30" s="1"/>
    </row>
    <row r="31" spans="1:12" ht="13.5" thickBot="1">
      <c r="A31" s="1"/>
      <c r="B31" s="31"/>
      <c r="C31" s="32"/>
      <c r="D31" s="32"/>
      <c r="E31" s="32"/>
      <c r="F31" s="32"/>
      <c r="G31" s="33" t="str">
        <f t="shared" si="0"/>
        <v/>
      </c>
      <c r="H31" s="32"/>
      <c r="I31" s="32"/>
      <c r="J31" s="34" t="s">
        <v>44</v>
      </c>
      <c r="K31" s="35"/>
      <c r="L31" s="1"/>
    </row>
    <row r="32" spans="1:12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1"/>
    </row>
    <row r="33" spans="2:6" ht="18" customHeight="1">
      <c r="B33" s="78" t="s">
        <v>58</v>
      </c>
      <c r="C33" s="78"/>
      <c r="D33" s="78"/>
      <c r="E33" s="78"/>
      <c r="F33" s="77" t="s">
        <v>59</v>
      </c>
    </row>
  </sheetData>
  <mergeCells count="2">
    <mergeCell ref="B2:K4"/>
    <mergeCell ref="B33:E33"/>
  </mergeCells>
  <conditionalFormatting sqref="H7:H31">
    <cfRule type="cellIs" dxfId="7" priority="1" operator="equal">
      <formula>"Completed"</formula>
    </cfRule>
  </conditionalFormatting>
  <conditionalFormatting sqref="H7:H31">
    <cfRule type="cellIs" dxfId="6" priority="2" operator="equal">
      <formula>"Ongoing"</formula>
    </cfRule>
  </conditionalFormatting>
  <conditionalFormatting sqref="H7:H31">
    <cfRule type="cellIs" dxfId="5" priority="3" operator="equal">
      <formula>"Not Started"</formula>
    </cfRule>
  </conditionalFormatting>
  <conditionalFormatting sqref="H7:H31">
    <cfRule type="cellIs" dxfId="4" priority="4" operator="equal">
      <formula>"Upcoming"</formula>
    </cfRule>
  </conditionalFormatting>
  <dataValidations count="1">
    <dataValidation type="list" allowBlank="1" showErrorMessage="1" sqref="H7:H31" xr:uid="{00000000-0002-0000-0000-000000000000}">
      <formula1>"Completed,Ongoing,Not Started,Upcoming"</formula1>
    </dataValidation>
  </dataValidation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7D28-A373-4F97-953E-1F8FBB0A462D}">
  <sheetPr>
    <outlinePr summaryBelow="0" summaryRight="0"/>
  </sheetPr>
  <dimension ref="A1:BR37"/>
  <sheetViews>
    <sheetView showGridLines="0" zoomScale="85" zoomScaleNormal="85" workbookViewId="0">
      <selection activeCell="S24" sqref="S24"/>
    </sheetView>
  </sheetViews>
  <sheetFormatPr defaultColWidth="12.5703125" defaultRowHeight="15.75" customHeight="1"/>
  <cols>
    <col min="1" max="1" width="3.42578125" style="37" customWidth="1"/>
    <col min="2" max="2" width="38.28515625" style="37" customWidth="1"/>
    <col min="3" max="3" width="19" style="37" customWidth="1"/>
    <col min="4" max="5" width="14.140625" style="37" customWidth="1"/>
    <col min="6" max="6" width="18.85546875" style="37" customWidth="1"/>
    <col min="7" max="7" width="14.140625" style="37" customWidth="1"/>
    <col min="8" max="8" width="16.42578125" style="37" customWidth="1"/>
    <col min="9" max="9" width="14.140625" style="37" customWidth="1"/>
    <col min="10" max="70" width="4.7109375" style="37" customWidth="1"/>
    <col min="71" max="16384" width="12.5703125" style="37"/>
  </cols>
  <sheetData>
    <row r="1" spans="1:70" ht="12.7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70" ht="18.75" customHeight="1">
      <c r="A2" s="36"/>
      <c r="B2" s="69" t="s">
        <v>45</v>
      </c>
      <c r="C2" s="69"/>
      <c r="D2" s="69"/>
      <c r="E2" s="71"/>
      <c r="F2" s="57"/>
      <c r="G2" s="36"/>
      <c r="H2" s="71"/>
      <c r="I2" s="57"/>
      <c r="J2" s="36"/>
      <c r="K2" s="36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6"/>
      <c r="X2" s="36"/>
      <c r="Y2" s="36"/>
      <c r="Z2" s="36"/>
    </row>
    <row r="3" spans="1:70" ht="15">
      <c r="A3" s="36"/>
      <c r="B3" s="69"/>
      <c r="C3" s="69"/>
      <c r="D3" s="69"/>
      <c r="E3" s="72"/>
      <c r="F3" s="73"/>
      <c r="G3" s="36"/>
      <c r="H3" s="72"/>
      <c r="I3" s="73"/>
      <c r="J3" s="36"/>
      <c r="K3" s="39" t="s">
        <v>46</v>
      </c>
      <c r="L3" s="74" t="s">
        <v>47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36"/>
    </row>
    <row r="4" spans="1:70" ht="26.25">
      <c r="A4" s="36"/>
      <c r="B4" s="69"/>
      <c r="C4" s="69"/>
      <c r="D4" s="69"/>
      <c r="E4" s="73"/>
      <c r="F4" s="73"/>
      <c r="G4" s="36"/>
      <c r="H4" s="73"/>
      <c r="I4" s="73"/>
      <c r="J4" s="36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6"/>
    </row>
    <row r="5" spans="1:70" ht="12.75" customHeight="1">
      <c r="A5" s="36"/>
      <c r="B5" s="69"/>
      <c r="C5" s="69"/>
      <c r="D5" s="69"/>
      <c r="E5" s="75"/>
      <c r="F5" s="76"/>
      <c r="G5" s="36"/>
      <c r="H5" s="75"/>
      <c r="I5" s="76"/>
      <c r="J5" s="36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</row>
    <row r="6" spans="1:70" ht="12.75" customHeight="1" thickBot="1">
      <c r="A6" s="36"/>
      <c r="B6" s="70"/>
      <c r="C6" s="70"/>
      <c r="D6" s="70"/>
      <c r="E6" s="76"/>
      <c r="F6" s="76"/>
      <c r="G6" s="36"/>
      <c r="H6" s="76"/>
      <c r="I6" s="76"/>
      <c r="J6" s="36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</row>
    <row r="7" spans="1:70" ht="12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61">
        <f>$D10</f>
        <v>54940</v>
      </c>
      <c r="L7" s="61">
        <f>K7+6</f>
        <v>54946</v>
      </c>
      <c r="M7" s="61">
        <f>L7+6</f>
        <v>54952</v>
      </c>
      <c r="N7" s="61">
        <f t="shared" ref="N7:BR7" si="0">M7+6</f>
        <v>54958</v>
      </c>
      <c r="O7" s="61">
        <f t="shared" si="0"/>
        <v>54964</v>
      </c>
      <c r="P7" s="61">
        <f t="shared" si="0"/>
        <v>54970</v>
      </c>
      <c r="Q7" s="61">
        <f t="shared" si="0"/>
        <v>54976</v>
      </c>
      <c r="R7" s="61">
        <f t="shared" si="0"/>
        <v>54982</v>
      </c>
      <c r="S7" s="61">
        <f t="shared" si="0"/>
        <v>54988</v>
      </c>
      <c r="T7" s="61">
        <f t="shared" si="0"/>
        <v>54994</v>
      </c>
      <c r="U7" s="61">
        <f t="shared" si="0"/>
        <v>55000</v>
      </c>
      <c r="V7" s="61">
        <f t="shared" si="0"/>
        <v>55006</v>
      </c>
      <c r="W7" s="61">
        <f t="shared" si="0"/>
        <v>55012</v>
      </c>
      <c r="X7" s="61">
        <f t="shared" si="0"/>
        <v>55018</v>
      </c>
      <c r="Y7" s="61">
        <f t="shared" si="0"/>
        <v>55024</v>
      </c>
      <c r="Z7" s="61">
        <f t="shared" si="0"/>
        <v>55030</v>
      </c>
      <c r="AA7" s="61">
        <f t="shared" si="0"/>
        <v>55036</v>
      </c>
      <c r="AB7" s="61">
        <f t="shared" si="0"/>
        <v>55042</v>
      </c>
      <c r="AC7" s="61">
        <f t="shared" si="0"/>
        <v>55048</v>
      </c>
      <c r="AD7" s="61">
        <f t="shared" si="0"/>
        <v>55054</v>
      </c>
      <c r="AE7" s="61">
        <f t="shared" si="0"/>
        <v>55060</v>
      </c>
      <c r="AF7" s="61">
        <f t="shared" si="0"/>
        <v>55066</v>
      </c>
      <c r="AG7" s="61">
        <f t="shared" si="0"/>
        <v>55072</v>
      </c>
      <c r="AH7" s="61">
        <f t="shared" si="0"/>
        <v>55078</v>
      </c>
      <c r="AI7" s="61">
        <f t="shared" si="0"/>
        <v>55084</v>
      </c>
      <c r="AJ7" s="61">
        <f t="shared" si="0"/>
        <v>55090</v>
      </c>
      <c r="AK7" s="61">
        <f t="shared" si="0"/>
        <v>55096</v>
      </c>
      <c r="AL7" s="61">
        <f t="shared" si="0"/>
        <v>55102</v>
      </c>
      <c r="AM7" s="61">
        <f t="shared" si="0"/>
        <v>55108</v>
      </c>
      <c r="AN7" s="61">
        <f t="shared" si="0"/>
        <v>55114</v>
      </c>
      <c r="AO7" s="61">
        <f t="shared" si="0"/>
        <v>55120</v>
      </c>
      <c r="AP7" s="61">
        <f t="shared" si="0"/>
        <v>55126</v>
      </c>
      <c r="AQ7" s="61">
        <f t="shared" si="0"/>
        <v>55132</v>
      </c>
      <c r="AR7" s="61">
        <f t="shared" si="0"/>
        <v>55138</v>
      </c>
      <c r="AS7" s="61">
        <f t="shared" si="0"/>
        <v>55144</v>
      </c>
      <c r="AT7" s="61">
        <f t="shared" si="0"/>
        <v>55150</v>
      </c>
      <c r="AU7" s="61">
        <f t="shared" si="0"/>
        <v>55156</v>
      </c>
      <c r="AV7" s="61">
        <f t="shared" si="0"/>
        <v>55162</v>
      </c>
      <c r="AW7" s="61">
        <f t="shared" si="0"/>
        <v>55168</v>
      </c>
      <c r="AX7" s="61">
        <f t="shared" si="0"/>
        <v>55174</v>
      </c>
      <c r="AY7" s="61">
        <f t="shared" si="0"/>
        <v>55180</v>
      </c>
      <c r="AZ7" s="61">
        <f t="shared" si="0"/>
        <v>55186</v>
      </c>
      <c r="BA7" s="61">
        <f t="shared" si="0"/>
        <v>55192</v>
      </c>
      <c r="BB7" s="61">
        <f t="shared" si="0"/>
        <v>55198</v>
      </c>
      <c r="BC7" s="61">
        <f t="shared" si="0"/>
        <v>55204</v>
      </c>
      <c r="BD7" s="61">
        <f t="shared" si="0"/>
        <v>55210</v>
      </c>
      <c r="BE7" s="61">
        <f t="shared" si="0"/>
        <v>55216</v>
      </c>
      <c r="BF7" s="61">
        <f t="shared" si="0"/>
        <v>55222</v>
      </c>
      <c r="BG7" s="61">
        <f t="shared" si="0"/>
        <v>55228</v>
      </c>
      <c r="BH7" s="61">
        <f t="shared" si="0"/>
        <v>55234</v>
      </c>
      <c r="BI7" s="61">
        <f t="shared" si="0"/>
        <v>55240</v>
      </c>
      <c r="BJ7" s="61">
        <f t="shared" si="0"/>
        <v>55246</v>
      </c>
      <c r="BK7" s="61">
        <f t="shared" si="0"/>
        <v>55252</v>
      </c>
      <c r="BL7" s="61">
        <f t="shared" si="0"/>
        <v>55258</v>
      </c>
      <c r="BM7" s="61">
        <f t="shared" si="0"/>
        <v>55264</v>
      </c>
      <c r="BN7" s="61">
        <f t="shared" si="0"/>
        <v>55270</v>
      </c>
      <c r="BO7" s="61">
        <f t="shared" si="0"/>
        <v>55276</v>
      </c>
      <c r="BP7" s="61">
        <f t="shared" si="0"/>
        <v>55282</v>
      </c>
      <c r="BQ7" s="61">
        <f t="shared" si="0"/>
        <v>55288</v>
      </c>
      <c r="BR7" s="61">
        <f t="shared" si="0"/>
        <v>55294</v>
      </c>
    </row>
    <row r="8" spans="1:70" ht="30.75" customHeight="1">
      <c r="A8" s="36"/>
      <c r="B8" s="40" t="s">
        <v>48</v>
      </c>
      <c r="C8" s="40" t="s">
        <v>49</v>
      </c>
      <c r="D8" s="40" t="s">
        <v>50</v>
      </c>
      <c r="E8" s="40" t="s">
        <v>51</v>
      </c>
      <c r="F8" s="40" t="s">
        <v>52</v>
      </c>
      <c r="G8" s="40" t="s">
        <v>53</v>
      </c>
      <c r="H8" s="40" t="s">
        <v>54</v>
      </c>
      <c r="I8" s="64" t="s">
        <v>55</v>
      </c>
      <c r="J8" s="57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</row>
    <row r="9" spans="1:70" ht="21" customHeight="1">
      <c r="A9" s="36"/>
      <c r="B9" s="65">
        <f>K5</f>
        <v>0</v>
      </c>
      <c r="C9" s="66"/>
      <c r="D9" s="66"/>
      <c r="E9" s="66"/>
      <c r="F9" s="66"/>
      <c r="G9" s="66"/>
      <c r="H9" s="66"/>
      <c r="I9" s="66"/>
      <c r="J9" s="66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</row>
    <row r="10" spans="1:70" ht="14.25" customHeight="1">
      <c r="A10" s="36"/>
      <c r="B10" s="41" t="str">
        <f>IF(Tasks!B7="","", Tasks!C7)</f>
        <v>Market Research</v>
      </c>
      <c r="C10" s="42" t="str">
        <f>IF(Tasks!B7="","",  Tasks!D7)</f>
        <v>Research Team</v>
      </c>
      <c r="D10" s="46">
        <f>IF(Tasks!B7="","", Tasks!E7)</f>
        <v>54940</v>
      </c>
      <c r="E10" s="46">
        <f>IF(Tasks!B7="","", Tasks!F7)</f>
        <v>54953</v>
      </c>
      <c r="F10" s="43" t="s">
        <v>56</v>
      </c>
      <c r="G10" s="44">
        <v>1</v>
      </c>
      <c r="H10" s="41">
        <f>IF(G10&lt;&gt;"", G10, "")</f>
        <v>1</v>
      </c>
      <c r="I10" s="58">
        <f>IF(D10="","",(E10-D10))</f>
        <v>13</v>
      </c>
      <c r="J10" s="60"/>
      <c r="K10" s="45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5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5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5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</row>
    <row r="11" spans="1:70" ht="14.25" customHeight="1">
      <c r="A11" s="36"/>
      <c r="B11" s="41" t="str">
        <f>IF(Tasks!B8="","", Tasks!C8)</f>
        <v>Product Conceptualization</v>
      </c>
      <c r="C11" s="42" t="str">
        <f>IF(Tasks!B8="","",  Tasks!D8)</f>
        <v>Product Team</v>
      </c>
      <c r="D11" s="46">
        <f>IF(Tasks!B8="","", Tasks!E8)</f>
        <v>54954</v>
      </c>
      <c r="E11" s="46">
        <f>IF(Tasks!B8="","", Tasks!F8)</f>
        <v>54974</v>
      </c>
      <c r="F11" s="43" t="s">
        <v>57</v>
      </c>
      <c r="G11" s="44">
        <v>0.8</v>
      </c>
      <c r="H11" s="41">
        <f t="shared" ref="H11:H22" si="1">IF(G11&lt;&gt;"", G11, "")</f>
        <v>0.8</v>
      </c>
      <c r="I11" s="58">
        <f t="shared" ref="I11:I22" si="2">IF(D11="","",(E11-D11))</f>
        <v>20</v>
      </c>
      <c r="J11" s="60"/>
      <c r="K11" s="45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5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5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5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</row>
    <row r="12" spans="1:70" ht="14.25" customHeight="1">
      <c r="A12" s="36"/>
      <c r="B12" s="41" t="str">
        <f>IF(Tasks!B9="","", Tasks!C9)</f>
        <v>Feasibility Study</v>
      </c>
      <c r="C12" s="42" t="str">
        <f>IF(Tasks!B9="","",  Tasks!D9)</f>
        <v>Analysis Team</v>
      </c>
      <c r="D12" s="46">
        <f>IF(Tasks!B9="","", Tasks!E9)</f>
        <v>54949</v>
      </c>
      <c r="E12" s="46">
        <f>IF(Tasks!B9="","", Tasks!F9)</f>
        <v>54979</v>
      </c>
      <c r="F12" s="43" t="s">
        <v>57</v>
      </c>
      <c r="G12" s="44">
        <v>0.43</v>
      </c>
      <c r="H12" s="41">
        <f t="shared" si="1"/>
        <v>0.43</v>
      </c>
      <c r="I12" s="58">
        <f t="shared" si="2"/>
        <v>30</v>
      </c>
      <c r="J12" s="60"/>
      <c r="K12" s="45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5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5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5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</row>
    <row r="13" spans="1:70" ht="14.25" customHeight="1">
      <c r="A13" s="36"/>
      <c r="B13" s="41" t="str">
        <f>IF(Tasks!B10="","", Tasks!C10)</f>
        <v>Financial Planning</v>
      </c>
      <c r="C13" s="42" t="str">
        <f>IF(Tasks!B10="","",  Tasks!D10)</f>
        <v>Finance Department</v>
      </c>
      <c r="D13" s="46">
        <f>IF(Tasks!B10="","", Tasks!E10)</f>
        <v>54980</v>
      </c>
      <c r="E13" s="46">
        <f>IF(Tasks!B10="","", Tasks!F10)</f>
        <v>55001</v>
      </c>
      <c r="F13" s="43" t="s">
        <v>57</v>
      </c>
      <c r="G13" s="44"/>
      <c r="H13" s="41" t="str">
        <f t="shared" si="1"/>
        <v/>
      </c>
      <c r="I13" s="58">
        <f t="shared" si="2"/>
        <v>21</v>
      </c>
      <c r="J13" s="60"/>
      <c r="K13" s="45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5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5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5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</row>
    <row r="14" spans="1:70" ht="14.25" customHeight="1">
      <c r="A14" s="36"/>
      <c r="B14" s="41" t="str">
        <f>IF(Tasks!B11="","", Tasks!C11)</f>
        <v>Prototype Development</v>
      </c>
      <c r="C14" s="42" t="str">
        <f>IF(Tasks!B11="","",  Tasks!D11)</f>
        <v>Engineering Team</v>
      </c>
      <c r="D14" s="46">
        <f>IF(Tasks!B11="","", Tasks!E11)</f>
        <v>55002</v>
      </c>
      <c r="E14" s="46">
        <f>IF(Tasks!B11="","", Tasks!F11)</f>
        <v>55046</v>
      </c>
      <c r="F14" s="43"/>
      <c r="G14" s="44"/>
      <c r="H14" s="41" t="str">
        <f t="shared" si="1"/>
        <v/>
      </c>
      <c r="I14" s="58">
        <f t="shared" si="2"/>
        <v>44</v>
      </c>
      <c r="J14" s="60"/>
      <c r="K14" s="45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5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5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5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</row>
    <row r="15" spans="1:70" ht="14.25" customHeight="1">
      <c r="A15" s="36"/>
      <c r="B15" s="41" t="str">
        <f>IF(Tasks!B12="","", Tasks!C12)</f>
        <v>Branding &amp; Identity Creation</v>
      </c>
      <c r="C15" s="42" t="str">
        <f>IF(Tasks!B12="","",  Tasks!D12)</f>
        <v>Marketing Department</v>
      </c>
      <c r="D15" s="46">
        <f>IF(Tasks!B12="","", Tasks!E12)</f>
        <v>54975</v>
      </c>
      <c r="E15" s="46">
        <f>IF(Tasks!B12="","", Tasks!F12)</f>
        <v>55010</v>
      </c>
      <c r="F15" s="43"/>
      <c r="G15" s="44"/>
      <c r="H15" s="41" t="str">
        <f t="shared" si="1"/>
        <v/>
      </c>
      <c r="I15" s="58">
        <f t="shared" si="2"/>
        <v>35</v>
      </c>
      <c r="J15" s="60"/>
      <c r="K15" s="45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5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5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5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</row>
    <row r="16" spans="1:70" ht="14.25" customHeight="1">
      <c r="A16" s="36"/>
      <c r="B16" s="41" t="str">
        <f>IF(Tasks!B13="","", Tasks!C13)</f>
        <v>Testing Phase I</v>
      </c>
      <c r="C16" s="42" t="str">
        <f>IF(Tasks!B13="","",  Tasks!D13)</f>
        <v>QA Team</v>
      </c>
      <c r="D16" s="46">
        <f>IF(Tasks!B13="","", Tasks!E13)</f>
        <v>55047</v>
      </c>
      <c r="E16" s="46">
        <f>IF(Tasks!B13="","", Tasks!F13)</f>
        <v>55077</v>
      </c>
      <c r="F16" s="43"/>
      <c r="G16" s="44"/>
      <c r="H16" s="41" t="str">
        <f t="shared" si="1"/>
        <v/>
      </c>
      <c r="I16" s="58">
        <f t="shared" si="2"/>
        <v>30</v>
      </c>
      <c r="J16" s="60"/>
      <c r="K16" s="45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5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5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5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</row>
    <row r="17" spans="1:70" ht="14.25" customHeight="1">
      <c r="A17" s="36"/>
      <c r="B17" s="41" t="str">
        <f>IF(Tasks!B14="","", Tasks!C14)</f>
        <v>Marketing Strategy</v>
      </c>
      <c r="C17" s="42" t="str">
        <f>IF(Tasks!B14="","",  Tasks!D14)</f>
        <v>Marketing Department</v>
      </c>
      <c r="D17" s="46">
        <f>IF(Tasks!B14="","", Tasks!E14)</f>
        <v>55062</v>
      </c>
      <c r="E17" s="46">
        <f>IF(Tasks!B14="","", Tasks!F14)</f>
        <v>55093</v>
      </c>
      <c r="F17" s="43"/>
      <c r="G17" s="44"/>
      <c r="H17" s="41"/>
      <c r="I17" s="58">
        <f t="shared" si="2"/>
        <v>31</v>
      </c>
      <c r="J17" s="60"/>
      <c r="K17" s="45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5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5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5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</row>
    <row r="18" spans="1:70" ht="14.25" customHeight="1">
      <c r="A18" s="36"/>
      <c r="B18" s="41" t="str">
        <f>IF(Tasks!B15="","", Tasks!C15)</f>
        <v>Compliance Checks</v>
      </c>
      <c r="C18" s="42" t="str">
        <f>IF(Tasks!B15="","",  Tasks!D15)</f>
        <v>Legal Team</v>
      </c>
      <c r="D18" s="46">
        <f>IF(Tasks!B15="","", Tasks!E15)</f>
        <v>55032</v>
      </c>
      <c r="E18" s="46">
        <f>IF(Tasks!B15="","", Tasks!F15)</f>
        <v>55066</v>
      </c>
      <c r="F18" s="43"/>
      <c r="G18" s="44"/>
      <c r="H18" s="41"/>
      <c r="I18" s="58">
        <f t="shared" si="2"/>
        <v>34</v>
      </c>
      <c r="J18" s="60"/>
      <c r="K18" s="45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5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5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5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</row>
    <row r="19" spans="1:70" ht="14.25" customHeight="1">
      <c r="A19" s="36"/>
      <c r="B19" s="41" t="str">
        <f>IF(Tasks!B16="","", Tasks!C16)</f>
        <v>Launch Event Planning</v>
      </c>
      <c r="C19" s="42" t="str">
        <f>IF(Tasks!B16="","",  Tasks!D16)</f>
        <v>Events Team</v>
      </c>
      <c r="D19" s="46">
        <f>IF(Tasks!B16="","", Tasks!E16)</f>
        <v>55094</v>
      </c>
      <c r="E19" s="46">
        <f>IF(Tasks!B16="","", Tasks!F16)</f>
        <v>55117</v>
      </c>
      <c r="F19" s="43"/>
      <c r="G19" s="44"/>
      <c r="H19" s="41"/>
      <c r="I19" s="58">
        <f t="shared" si="2"/>
        <v>23</v>
      </c>
      <c r="J19" s="60"/>
      <c r="K19" s="45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5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5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5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</row>
    <row r="20" spans="1:70" ht="14.25" customHeight="1">
      <c r="A20" s="36"/>
      <c r="B20" s="41" t="str">
        <f>IF(Tasks!B17="","", Tasks!C17)</f>
        <v/>
      </c>
      <c r="C20" s="42" t="str">
        <f>IF(Tasks!B17="","",  Tasks!D17)</f>
        <v/>
      </c>
      <c r="D20" s="46" t="str">
        <f>IF(Tasks!B17="","", Tasks!E17)</f>
        <v/>
      </c>
      <c r="E20" s="46" t="str">
        <f>IF(Tasks!B17="","", Tasks!F17)</f>
        <v/>
      </c>
      <c r="F20" s="43"/>
      <c r="G20" s="44"/>
      <c r="H20" s="41" t="str">
        <f t="shared" si="1"/>
        <v/>
      </c>
      <c r="I20" s="58" t="str">
        <f t="shared" si="2"/>
        <v/>
      </c>
      <c r="J20" s="60"/>
      <c r="K20" s="45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5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5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5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</row>
    <row r="21" spans="1:70" ht="14.25" customHeight="1">
      <c r="A21" s="36"/>
      <c r="B21" s="41" t="str">
        <f>IF(Tasks!B18="","", Tasks!C18)</f>
        <v/>
      </c>
      <c r="C21" s="42" t="str">
        <f>IF(Tasks!B18="","",  Tasks!D18)</f>
        <v/>
      </c>
      <c r="D21" s="46" t="str">
        <f>IF(Tasks!B18="","", Tasks!E18)</f>
        <v/>
      </c>
      <c r="E21" s="46" t="str">
        <f>IF(Tasks!B18="","", Tasks!F18)</f>
        <v/>
      </c>
      <c r="F21" s="43"/>
      <c r="G21" s="44"/>
      <c r="H21" s="41" t="str">
        <f t="shared" si="1"/>
        <v/>
      </c>
      <c r="I21" s="58" t="str">
        <f t="shared" si="2"/>
        <v/>
      </c>
      <c r="J21" s="60"/>
      <c r="K21" s="45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5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5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5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</row>
    <row r="22" spans="1:70" ht="14.25" customHeight="1">
      <c r="A22" s="36"/>
      <c r="B22" s="41" t="str">
        <f>IF(Tasks!B19="","", Tasks!C19)</f>
        <v/>
      </c>
      <c r="C22" s="42" t="str">
        <f>IF(Tasks!B19="","",  Tasks!D19)</f>
        <v/>
      </c>
      <c r="D22" s="46" t="str">
        <f>IF(Tasks!B19="","", Tasks!E19)</f>
        <v/>
      </c>
      <c r="E22" s="46" t="str">
        <f>IF(Tasks!B19="","", Tasks!F19)</f>
        <v/>
      </c>
      <c r="F22" s="43"/>
      <c r="G22" s="44"/>
      <c r="H22" s="41" t="str">
        <f t="shared" si="1"/>
        <v/>
      </c>
      <c r="I22" s="58" t="str">
        <f t="shared" si="2"/>
        <v/>
      </c>
      <c r="J22" s="60"/>
      <c r="K22" s="45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5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5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5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</row>
    <row r="23" spans="1:70" ht="14.25" customHeight="1">
      <c r="A23" s="36"/>
      <c r="B23" s="41" t="str">
        <f>IF(Tasks!B20="","", Tasks!C20)</f>
        <v/>
      </c>
      <c r="C23" s="42" t="str">
        <f>IF(Tasks!B20="","",  Tasks!D20)</f>
        <v/>
      </c>
      <c r="D23" s="46" t="str">
        <f>IF(Tasks!B20="","", Tasks!E20)</f>
        <v/>
      </c>
      <c r="E23" s="46" t="str">
        <f>IF(Tasks!B20="","", Tasks!F20)</f>
        <v/>
      </c>
      <c r="F23" s="43"/>
      <c r="G23" s="44"/>
      <c r="H23" s="41" t="s">
        <v>44</v>
      </c>
      <c r="I23" s="58"/>
      <c r="J23" s="59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</row>
    <row r="24" spans="1:70" ht="14.25" customHeight="1">
      <c r="A24" s="36"/>
      <c r="B24" s="41" t="str">
        <f>IF(Tasks!B21="","", Tasks!C21)</f>
        <v/>
      </c>
      <c r="C24" s="42" t="str">
        <f>IF(Tasks!B21="","",  Tasks!D21)</f>
        <v/>
      </c>
      <c r="D24" s="46" t="str">
        <f>IF(Tasks!B21="","", Tasks!E21)</f>
        <v/>
      </c>
      <c r="E24" s="46" t="str">
        <f>IF(Tasks!B21="","", Tasks!F21)</f>
        <v/>
      </c>
      <c r="F24" s="43"/>
      <c r="G24" s="44"/>
      <c r="H24" s="41" t="s">
        <v>44</v>
      </c>
      <c r="I24" s="58"/>
      <c r="J24" s="59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</row>
    <row r="25" spans="1:70" ht="14.25" customHeight="1">
      <c r="A25" s="36"/>
      <c r="B25" s="41" t="str">
        <f>IF(Tasks!B22="","", Tasks!C22)</f>
        <v/>
      </c>
      <c r="C25" s="42" t="str">
        <f>IF(Tasks!B22="","",  Tasks!D22)</f>
        <v/>
      </c>
      <c r="D25" s="46" t="str">
        <f>IF(Tasks!B22="","", Tasks!E22)</f>
        <v/>
      </c>
      <c r="E25" s="46" t="str">
        <f>IF(Tasks!B22="","", Tasks!F22)</f>
        <v/>
      </c>
      <c r="F25" s="43"/>
      <c r="G25" s="44"/>
      <c r="H25" s="41" t="s">
        <v>44</v>
      </c>
      <c r="I25" s="58"/>
      <c r="J25" s="59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</row>
    <row r="26" spans="1:70" ht="14.25" customHeight="1">
      <c r="A26" s="36"/>
      <c r="B26" s="41" t="str">
        <f>IF(Tasks!B23="","", Tasks!C23)</f>
        <v/>
      </c>
      <c r="C26" s="42" t="str">
        <f>IF(Tasks!B23="","",  Tasks!D23)</f>
        <v/>
      </c>
      <c r="D26" s="46" t="str">
        <f>IF(Tasks!B23="","", Tasks!E23)</f>
        <v/>
      </c>
      <c r="E26" s="46" t="str">
        <f>IF(Tasks!B23="","", Tasks!F23)</f>
        <v/>
      </c>
      <c r="F26" s="43"/>
      <c r="G26" s="44"/>
      <c r="H26" s="41" t="s">
        <v>44</v>
      </c>
      <c r="I26" s="58"/>
      <c r="J26" s="59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</row>
    <row r="27" spans="1:70" ht="14.25" customHeight="1">
      <c r="A27" s="36"/>
      <c r="B27" s="41" t="str">
        <f>IF(Tasks!B24="","", Tasks!C24)</f>
        <v/>
      </c>
      <c r="C27" s="42" t="str">
        <f>IF(Tasks!B24="","",  Tasks!D24)</f>
        <v/>
      </c>
      <c r="D27" s="46" t="str">
        <f>IF(Tasks!B24="","", Tasks!E24)</f>
        <v/>
      </c>
      <c r="E27" s="46" t="str">
        <f>IF(Tasks!B24="","", Tasks!F24)</f>
        <v/>
      </c>
      <c r="F27" s="43"/>
      <c r="G27" s="44"/>
      <c r="H27" s="41"/>
      <c r="I27" s="47"/>
      <c r="J27" s="48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</row>
    <row r="28" spans="1:70" ht="14.25" customHeight="1">
      <c r="A28" s="36"/>
      <c r="B28" s="41" t="str">
        <f>IF(Tasks!B25="","", Tasks!C25)</f>
        <v/>
      </c>
      <c r="C28" s="42" t="str">
        <f>IF(Tasks!B25="","",  Tasks!D25)</f>
        <v/>
      </c>
      <c r="D28" s="46" t="str">
        <f>IF(Tasks!B25="","", Tasks!E25)</f>
        <v/>
      </c>
      <c r="E28" s="46" t="str">
        <f>IF(Tasks!B25="","", Tasks!F25)</f>
        <v/>
      </c>
      <c r="F28" s="43"/>
      <c r="G28" s="44"/>
      <c r="H28" s="41"/>
      <c r="I28" s="47"/>
      <c r="J28" s="48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</row>
    <row r="29" spans="1:70" ht="14.25" customHeight="1">
      <c r="A29" s="36"/>
      <c r="B29" s="41" t="str">
        <f>IF(Tasks!B26="","", Tasks!C26)</f>
        <v/>
      </c>
      <c r="C29" s="42" t="str">
        <f>IF(Tasks!B26="","",  Tasks!D26)</f>
        <v/>
      </c>
      <c r="D29" s="46" t="str">
        <f>IF(Tasks!B26="","", Tasks!E26)</f>
        <v/>
      </c>
      <c r="E29" s="46" t="str">
        <f>IF(Tasks!B26="","", Tasks!F26)</f>
        <v/>
      </c>
      <c r="F29" s="43"/>
      <c r="G29" s="44"/>
      <c r="H29" s="41"/>
      <c r="I29" s="47"/>
      <c r="J29" s="48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</row>
    <row r="30" spans="1:70" ht="14.25" customHeight="1">
      <c r="A30" s="36"/>
      <c r="B30" s="41" t="str">
        <f>IF(Tasks!B27="","", Tasks!C27)</f>
        <v/>
      </c>
      <c r="C30" s="42" t="str">
        <f>IF(Tasks!B27="","",  Tasks!D27)</f>
        <v/>
      </c>
      <c r="D30" s="46" t="str">
        <f>IF(Tasks!B27="","", Tasks!E27)</f>
        <v/>
      </c>
      <c r="E30" s="46" t="str">
        <f>IF(Tasks!B27="","", Tasks!F27)</f>
        <v/>
      </c>
      <c r="F30" s="43"/>
      <c r="G30" s="44"/>
      <c r="H30" s="41" t="s">
        <v>44</v>
      </c>
      <c r="I30" s="58"/>
      <c r="J30" s="59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</row>
    <row r="31" spans="1:70" ht="14.25" customHeight="1">
      <c r="A31" s="36"/>
      <c r="B31" s="41" t="str">
        <f>IF(Tasks!B28="","", Tasks!C28)</f>
        <v/>
      </c>
      <c r="C31" s="42" t="str">
        <f>IF(Tasks!B28="","",  Tasks!D28)</f>
        <v/>
      </c>
      <c r="D31" s="46" t="str">
        <f>IF(Tasks!B28="","", Tasks!E28)</f>
        <v/>
      </c>
      <c r="E31" s="46" t="str">
        <f>IF(Tasks!B28="","", Tasks!F28)</f>
        <v/>
      </c>
      <c r="F31" s="43"/>
      <c r="G31" s="44"/>
      <c r="H31" s="41" t="s">
        <v>44</v>
      </c>
      <c r="I31" s="58"/>
      <c r="J31" s="59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</row>
    <row r="32" spans="1:70" ht="14.25" customHeight="1">
      <c r="A32" s="36"/>
      <c r="B32" s="41" t="str">
        <f>IF(Tasks!B29="","", Tasks!C29)</f>
        <v/>
      </c>
      <c r="C32" s="42" t="str">
        <f>IF(Tasks!B29="","",  Tasks!D29)</f>
        <v/>
      </c>
      <c r="D32" s="46" t="str">
        <f>IF(Tasks!B29="","", Tasks!E29)</f>
        <v/>
      </c>
      <c r="E32" s="46" t="str">
        <f>IF(Tasks!B29="","", Tasks!F29)</f>
        <v/>
      </c>
      <c r="F32" s="43"/>
      <c r="G32" s="44"/>
      <c r="H32" s="41" t="s">
        <v>44</v>
      </c>
      <c r="I32" s="58"/>
      <c r="J32" s="59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</row>
    <row r="33" spans="1:70" ht="14.25" customHeight="1">
      <c r="A33" s="36"/>
      <c r="B33" s="41" t="str">
        <f>IF(Tasks!B30="","", Tasks!C30)</f>
        <v/>
      </c>
      <c r="C33" s="42" t="str">
        <f>IF(Tasks!B30="","",  Tasks!D30)</f>
        <v/>
      </c>
      <c r="D33" s="46" t="str">
        <f>IF(Tasks!B30="","", Tasks!E30)</f>
        <v/>
      </c>
      <c r="E33" s="46" t="str">
        <f>IF(Tasks!B30="","", Tasks!F30)</f>
        <v/>
      </c>
      <c r="F33" s="43"/>
      <c r="G33" s="44"/>
      <c r="H33" s="41" t="s">
        <v>44</v>
      </c>
      <c r="I33" s="58"/>
      <c r="J33" s="59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</row>
    <row r="34" spans="1:70" ht="14.25" customHeight="1">
      <c r="A34" s="36"/>
      <c r="B34" s="41" t="str">
        <f>IF(Tasks!B31="","", Tasks!C31)</f>
        <v/>
      </c>
      <c r="C34" s="42" t="str">
        <f>IF(Tasks!B31="","",  Tasks!D31)</f>
        <v/>
      </c>
      <c r="D34" s="46" t="str">
        <f>IF(Tasks!B31="","", Tasks!E31)</f>
        <v/>
      </c>
      <c r="E34" s="46" t="str">
        <f>IF(Tasks!B31="","", Tasks!F31)</f>
        <v/>
      </c>
      <c r="F34" s="43"/>
      <c r="G34" s="44"/>
      <c r="H34" s="41" t="s">
        <v>44</v>
      </c>
      <c r="I34" s="58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</row>
    <row r="35" spans="1:70" ht="15.75" customHeight="1">
      <c r="B35" s="36"/>
      <c r="C35" s="36"/>
      <c r="D35" s="36"/>
      <c r="E35" s="36"/>
      <c r="F35" s="36"/>
      <c r="G35" s="36"/>
      <c r="H35" s="36"/>
      <c r="I35" s="36"/>
      <c r="J35" s="36"/>
    </row>
    <row r="36" spans="1:70" ht="15.75" customHeight="1">
      <c r="B36" s="55"/>
      <c r="C36" s="55"/>
      <c r="D36" s="56"/>
      <c r="E36" s="57"/>
      <c r="F36" s="36"/>
      <c r="G36" s="36"/>
      <c r="H36" s="36"/>
      <c r="I36" s="36"/>
      <c r="J36" s="36"/>
    </row>
    <row r="37" spans="1:70" ht="15.75" customHeight="1">
      <c r="B37" s="36"/>
      <c r="C37" s="36"/>
      <c r="D37" s="36"/>
      <c r="E37" s="36"/>
      <c r="F37" s="36"/>
      <c r="G37" s="36"/>
      <c r="H37" s="36"/>
      <c r="I37" s="36"/>
      <c r="J37" s="36"/>
    </row>
  </sheetData>
  <mergeCells count="98">
    <mergeCell ref="L3:Y3"/>
    <mergeCell ref="E5:F6"/>
    <mergeCell ref="H5:I6"/>
    <mergeCell ref="K5:Y6"/>
    <mergeCell ref="B2:D6"/>
    <mergeCell ref="E2:F2"/>
    <mergeCell ref="H2:I2"/>
    <mergeCell ref="E3:F4"/>
    <mergeCell ref="H3:I4"/>
    <mergeCell ref="W7:W9"/>
    <mergeCell ref="Z5:AN6"/>
    <mergeCell ref="AO5:BC6"/>
    <mergeCell ref="BD5:BR6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AI7:AI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U7:AU9"/>
    <mergeCell ref="AJ7:AJ9"/>
    <mergeCell ref="AK7:AK9"/>
    <mergeCell ref="AL7:AL9"/>
    <mergeCell ref="AM7:AM9"/>
    <mergeCell ref="AN7:AN9"/>
    <mergeCell ref="AO7:AO9"/>
    <mergeCell ref="BK7:BK9"/>
    <mergeCell ref="BL7:BL9"/>
    <mergeCell ref="BM7:BM9"/>
    <mergeCell ref="BB7:BB9"/>
    <mergeCell ref="BC7:BC9"/>
    <mergeCell ref="BD7:BD9"/>
    <mergeCell ref="BE7:BE9"/>
    <mergeCell ref="BF7:BF9"/>
    <mergeCell ref="BG7:BG9"/>
    <mergeCell ref="I8:J8"/>
    <mergeCell ref="B9:J9"/>
    <mergeCell ref="BH7:BH9"/>
    <mergeCell ref="BI7:BI9"/>
    <mergeCell ref="BJ7:BJ9"/>
    <mergeCell ref="AV7:AV9"/>
    <mergeCell ref="AW7:AW9"/>
    <mergeCell ref="AX7:AX9"/>
    <mergeCell ref="AY7:AY9"/>
    <mergeCell ref="AZ7:AZ9"/>
    <mergeCell ref="BA7:BA9"/>
    <mergeCell ref="AP7:AP9"/>
    <mergeCell ref="AQ7:AQ9"/>
    <mergeCell ref="AR7:AR9"/>
    <mergeCell ref="AS7:AS9"/>
    <mergeCell ref="AT7:AT9"/>
    <mergeCell ref="BN7:BN9"/>
    <mergeCell ref="BO7:BO9"/>
    <mergeCell ref="BP7:BP9"/>
    <mergeCell ref="BQ7:BQ9"/>
    <mergeCell ref="BR7:BR9"/>
    <mergeCell ref="I21:J21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2:J22"/>
    <mergeCell ref="I23:J23"/>
    <mergeCell ref="I24:J24"/>
    <mergeCell ref="I25:J25"/>
    <mergeCell ref="I26:J26"/>
    <mergeCell ref="B36:C36"/>
    <mergeCell ref="D36:E36"/>
    <mergeCell ref="I30:J30"/>
    <mergeCell ref="I31:J31"/>
    <mergeCell ref="I32:J32"/>
    <mergeCell ref="I33:J33"/>
    <mergeCell ref="I34:J34"/>
  </mergeCells>
  <conditionalFormatting sqref="F10:F34">
    <cfRule type="containsText" dxfId="3" priority="7" operator="containsText" text="COMPLETED">
      <formula>NOT(ISERROR(SEARCH("COMPLETED",F10)))</formula>
    </cfRule>
  </conditionalFormatting>
  <conditionalFormatting sqref="F10:F34">
    <cfRule type="containsText" dxfId="2" priority="8" operator="containsText" text="IN PROGRESS">
      <formula>NOT(ISERROR(SEARCH("IN PROGRESS",F10)))</formula>
    </cfRule>
  </conditionalFormatting>
  <conditionalFormatting sqref="F10:F34">
    <cfRule type="containsText" dxfId="1" priority="9" operator="containsText" text="NOT STARTED">
      <formula>NOT(ISERROR(SEARCH("NOT STARTED",F10)))</formula>
    </cfRule>
  </conditionalFormatting>
  <conditionalFormatting sqref="H10:H22">
    <cfRule type="dataBar" priority="6">
      <dataBar showValue="0">
        <cfvo type="num" val="0"/>
        <cfvo type="num" val="1"/>
        <color theme="6" tint="-0.249977111117893"/>
      </dataBar>
      <extLst>
        <ext xmlns:x14="http://schemas.microsoft.com/office/spreadsheetml/2009/9/main" uri="{B025F937-C7B1-47D3-B67F-A62EFF666E3E}">
          <x14:id>{FF4FDB67-EA0D-48FC-905F-10C6C0A04EA8}</x14:id>
        </ext>
      </extLst>
    </cfRule>
  </conditionalFormatting>
  <conditionalFormatting sqref="K10:BR34">
    <cfRule type="expression" dxfId="0" priority="1">
      <formula>AND(K$7&gt;=$D10, K$7&lt;=$E10)</formula>
    </cfRule>
  </conditionalFormatting>
  <dataValidations count="1">
    <dataValidation type="list" allowBlank="1" showErrorMessage="1" sqref="F10:F34" xr:uid="{C3CE2784-2049-4ED6-9BDA-40C0E763FF4C}">
      <formula1>"COMPLETED,IN PROGRESS,NOT STARTED"</formula1>
    </dataValidation>
  </dataValidations>
  <pageMargins left="0.7" right="0.7" top="0.75" bottom="0.75" header="0.3" footer="0.3"/>
  <pageSetup paperSize="9" orientation="portrait" horizontalDpi="0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4FDB67-EA0D-48FC-905F-10C6C0A04EA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H10:H22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Peñada</dc:creator>
  <cp:lastModifiedBy>Christian Peñada</cp:lastModifiedBy>
  <dcterms:modified xsi:type="dcterms:W3CDTF">2023-11-09T07:20:22Z</dcterms:modified>
</cp:coreProperties>
</file>