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nea\Downloads\"/>
    </mc:Choice>
  </mc:AlternateContent>
  <xr:revisionPtr revIDLastSave="0" documentId="13_ncr:1_{25699CB3-BD28-4FBE-A804-82D6AD3DE75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rketing Project Management" sheetId="1" r:id="rId1"/>
    <sheet name="Setup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 l="1"/>
  <c r="I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</calcChain>
</file>

<file path=xl/sharedStrings.xml><?xml version="1.0" encoding="utf-8"?>
<sst xmlns="http://schemas.openxmlformats.org/spreadsheetml/2006/main" count="106" uniqueCount="62">
  <si>
    <t>MARKETING PROJECT MANAGEMENT</t>
  </si>
  <si>
    <t>PROJECT DETAILS</t>
  </si>
  <si>
    <t>Project Name</t>
  </si>
  <si>
    <t>Product X Launch</t>
  </si>
  <si>
    <t>Project Manager</t>
  </si>
  <si>
    <t>Mark Johnson</t>
  </si>
  <si>
    <t>Start Date</t>
  </si>
  <si>
    <t>End Date</t>
  </si>
  <si>
    <t>Total Budget</t>
  </si>
  <si>
    <t>Client</t>
  </si>
  <si>
    <t>XYZ Corporation</t>
  </si>
  <si>
    <t>TASK LIST</t>
  </si>
  <si>
    <t>BUDGET ALLOCATION</t>
  </si>
  <si>
    <t>RESOURCE ALLOCATION</t>
  </si>
  <si>
    <t>Assigned To</t>
  </si>
  <si>
    <t>Task Description</t>
  </si>
  <si>
    <t>Status</t>
  </si>
  <si>
    <t>Category</t>
  </si>
  <si>
    <t>Budget Allocation ($)</t>
  </si>
  <si>
    <t>Resource</t>
  </si>
  <si>
    <t>Role</t>
  </si>
  <si>
    <t>Marketing</t>
  </si>
  <si>
    <t>Market Research &amp; Analysis</t>
  </si>
  <si>
    <t>In Progress</t>
  </si>
  <si>
    <t>Market Research</t>
  </si>
  <si>
    <t>John Doe</t>
  </si>
  <si>
    <t>Develop Marketing Strategy</t>
  </si>
  <si>
    <t>Not Started</t>
  </si>
  <si>
    <t>Marketing Strategy</t>
  </si>
  <si>
    <t>Alice Smith</t>
  </si>
  <si>
    <t>Design</t>
  </si>
  <si>
    <t>Design Creative Assets</t>
  </si>
  <si>
    <t>Design &amp; Creative</t>
  </si>
  <si>
    <t>Content</t>
  </si>
  <si>
    <t>Content Creation</t>
  </si>
  <si>
    <t>Sarah Brown</t>
  </si>
  <si>
    <t>Web Dev</t>
  </si>
  <si>
    <t>Website Development</t>
  </si>
  <si>
    <t>Web Development</t>
  </si>
  <si>
    <t>Laura White</t>
  </si>
  <si>
    <t>Social Media</t>
  </si>
  <si>
    <t>Social Media Campaign</t>
  </si>
  <si>
    <t>Chris Davis</t>
  </si>
  <si>
    <t>Email Marketing</t>
  </si>
  <si>
    <t>PR</t>
  </si>
  <si>
    <t>PR &amp; Media Relations</t>
  </si>
  <si>
    <t>QA</t>
  </si>
  <si>
    <t>Quality Assurance &amp; Testing</t>
  </si>
  <si>
    <t>Contingency</t>
  </si>
  <si>
    <t>TOTAL</t>
  </si>
  <si>
    <t>SETUP</t>
  </si>
  <si>
    <t>Designer</t>
  </si>
  <si>
    <t>Web Developer</t>
  </si>
  <si>
    <t>Content Writer</t>
  </si>
  <si>
    <t>Social Media Manager</t>
  </si>
  <si>
    <t>PR Specialist</t>
  </si>
  <si>
    <t>https://docs.google.com/spreadsheets/d/1fJtCMvXoigfc9dWaKu-HKbVSBFIkUt4-pysPxmCw8Sg/edit#gid=2113230748</t>
  </si>
  <si>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</si>
  <si>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</si>
  <si>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</si>
  <si>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</si>
  <si>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Should you need assistance, please contact our Customer Support Team using the chat box found on the website.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</si>
</sst>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mm\ dd\,\ yyyy"/>
    <numFmt numFmtId="165" formatCode="&quot;$&quot;#,##0.00"/>
  </numFmts>
  <fonts count="12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Century Gothic"/>
    </font>
    <font>
      <b/>
      <sz val="32"/>
      <color rgb="FFFFFFFF"/>
      <name val="Century Gothic"/>
    </font>
    <font>
      <b/>
      <sz val="11"/>
      <color theme="1"/>
      <name val="Arial"/>
      <scheme val="minor"/>
    </font>
    <font>
      <sz val="10"/>
      <name val="Arial"/>
    </font>
    <font>
      <sz val="11"/>
      <color rgb="FF417688"/>
      <name val="Arial"/>
      <scheme val="minor"/>
    </font>
    <font>
      <b/>
      <sz val="11"/>
      <color rgb="FFFFFFFF"/>
      <name val="Arial"/>
      <scheme val="minor"/>
    </font>
    <font>
      <b/>
      <sz val="26"/>
      <color rgb="FFFFFFFF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sz val="11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F7FA"/>
        <bgColor rgb="FFEEF7FA"/>
      </patternFill>
    </fill>
    <fill>
      <patternFill patternType="solid">
        <fgColor rgb="FF417688"/>
        <bgColor rgb="FF417688"/>
      </patternFill>
    </fill>
    <fill>
      <patternFill patternType="solid">
        <fgColor rgb="FFADD8E6"/>
        <bgColor rgb="FFADD8E6"/>
      </patternFill>
    </fill>
    <fill>
      <patternFill patternType="solid">
        <fgColor rgb="FFEFEFEF"/>
        <bgColor rgb="FFEFEFEF"/>
      </patternFill>
    </fill>
    <fill>
      <patternFill patternType="solid">
        <fgColor rgb="FFCDE7F0"/>
        <bgColor rgb="FFCDE7F0"/>
      </patternFill>
    </fill>
    <fill>
      <patternFill patternType="solid">
        <fgColor rgb="FFF6FBFC"/>
        <bgColor rgb="FFF6FBFC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44" fontId="1" fillId="0" borderId="3" xfId="0" applyNumberFormat="1" applyFont="1" applyBorder="1" applyAlignment="1">
      <alignment horizontal="center" vertical="center"/>
    </xf>
    <xf numFmtId="0" fontId="6" fillId="7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44" fontId="1" fillId="0" borderId="3" xfId="0" applyNumberFormat="1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4" fontId="7" fillId="3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/>
    <xf numFmtId="0" fontId="3" fillId="3" borderId="0" xfId="0" applyFont="1" applyFill="1" applyAlignment="1">
      <alignment horizontal="center" vertical="center"/>
    </xf>
    <xf numFmtId="0" fontId="0" fillId="0" borderId="0" xfId="0" applyFont="1" applyAlignment="1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4" xfId="0" applyFont="1" applyBorder="1"/>
    <xf numFmtId="0" fontId="8" fillId="3" borderId="0" xfId="0" applyFont="1" applyFill="1" applyAlignment="1">
      <alignment horizontal="left" vertical="center"/>
    </xf>
    <xf numFmtId="0" fontId="11" fillId="0" borderId="0" xfId="0" applyFont="1" applyAlignment="1">
      <alignment wrapText="1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ADD8E6"/>
          <bgColor rgb="FFADD8E6"/>
        </patternFill>
      </fill>
    </dxf>
    <dxf>
      <font>
        <color rgb="FF000000"/>
      </font>
      <fill>
        <patternFill patternType="solid">
          <fgColor rgb="FF417688"/>
          <bgColor rgb="FF4176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PH" b="1">
                <a:solidFill>
                  <a:srgbClr val="757575"/>
                </a:solidFill>
                <a:latin typeface="+mn-lt"/>
              </a:rPr>
              <a:t>BUDGET ALLOCATION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ADD8E6"/>
              </a:solidFill>
            </c:spPr>
            <c:extLst>
              <c:ext xmlns:c16="http://schemas.microsoft.com/office/drawing/2014/chart" uri="{C3380CC4-5D6E-409C-BE32-E72D297353CC}">
                <c16:uniqueId val="{00000001-6FCD-44FB-A06D-D1C237DC6869}"/>
              </c:ext>
            </c:extLst>
          </c:dPt>
          <c:dPt>
            <c:idx val="1"/>
            <c:bubble3D val="0"/>
            <c:spPr>
              <a:solidFill>
                <a:srgbClr val="CCCCCC"/>
              </a:solidFill>
            </c:spPr>
            <c:extLst>
              <c:ext xmlns:c16="http://schemas.microsoft.com/office/drawing/2014/chart" uri="{C3380CC4-5D6E-409C-BE32-E72D297353CC}">
                <c16:uniqueId val="{00000003-6FCD-44FB-A06D-D1C237DC6869}"/>
              </c:ext>
            </c:extLst>
          </c:dPt>
          <c:dPt>
            <c:idx val="2"/>
            <c:bubble3D val="0"/>
            <c:spPr>
              <a:solidFill>
                <a:srgbClr val="BDDFEB"/>
              </a:solidFill>
            </c:spPr>
            <c:extLst>
              <c:ext xmlns:c16="http://schemas.microsoft.com/office/drawing/2014/chart" uri="{C3380CC4-5D6E-409C-BE32-E72D297353CC}">
                <c16:uniqueId val="{00000005-6FCD-44FB-A06D-D1C237DC6869}"/>
              </c:ext>
            </c:extLst>
          </c:dPt>
          <c:dPt>
            <c:idx val="3"/>
            <c:bubble3D val="0"/>
            <c:spPr>
              <a:solidFill>
                <a:srgbClr val="B7B7B7"/>
              </a:solidFill>
            </c:spPr>
            <c:extLst>
              <c:ext xmlns:c16="http://schemas.microsoft.com/office/drawing/2014/chart" uri="{C3380CC4-5D6E-409C-BE32-E72D297353CC}">
                <c16:uniqueId val="{00000007-6FCD-44FB-A06D-D1C237DC6869}"/>
              </c:ext>
            </c:extLst>
          </c:dPt>
          <c:dPt>
            <c:idx val="4"/>
            <c:bubble3D val="0"/>
            <c:spPr>
              <a:solidFill>
                <a:srgbClr val="CDE7F0"/>
              </a:solidFill>
            </c:spPr>
            <c:extLst>
              <c:ext xmlns:c16="http://schemas.microsoft.com/office/drawing/2014/chart" uri="{C3380CC4-5D6E-409C-BE32-E72D297353CC}">
                <c16:uniqueId val="{00000009-6FCD-44FB-A06D-D1C237DC6869}"/>
              </c:ext>
            </c:extLst>
          </c:dPt>
          <c:dPt>
            <c:idx val="5"/>
            <c:bubble3D val="0"/>
            <c:spPr>
              <a:solidFill>
                <a:srgbClr val="999999"/>
              </a:solidFill>
            </c:spPr>
            <c:extLst>
              <c:ext xmlns:c16="http://schemas.microsoft.com/office/drawing/2014/chart" uri="{C3380CC4-5D6E-409C-BE32-E72D297353CC}">
                <c16:uniqueId val="{0000000B-6FCD-44FB-A06D-D1C237DC6869}"/>
              </c:ext>
            </c:extLst>
          </c:dPt>
          <c:dPt>
            <c:idx val="6"/>
            <c:bubble3D val="0"/>
            <c:spPr>
              <a:solidFill>
                <a:srgbClr val="C6E4EE"/>
              </a:solidFill>
            </c:spPr>
            <c:extLst>
              <c:ext xmlns:c16="http://schemas.microsoft.com/office/drawing/2014/chart" uri="{C3380CC4-5D6E-409C-BE32-E72D297353CC}">
                <c16:uniqueId val="{0000000D-6FCD-44FB-A06D-D1C237DC6869}"/>
              </c:ext>
            </c:extLst>
          </c:dPt>
          <c:dPt>
            <c:idx val="7"/>
            <c:bubble3D val="0"/>
            <c:spPr>
              <a:solidFill>
                <a:srgbClr val="DBDBDB"/>
              </a:solidFill>
            </c:spPr>
            <c:extLst>
              <c:ext xmlns:c16="http://schemas.microsoft.com/office/drawing/2014/chart" uri="{C3380CC4-5D6E-409C-BE32-E72D297353CC}">
                <c16:uniqueId val="{0000000F-6FCD-44FB-A06D-D1C237DC6869}"/>
              </c:ext>
            </c:extLst>
          </c:dPt>
          <c:dPt>
            <c:idx val="8"/>
            <c:bubble3D val="0"/>
            <c:spPr>
              <a:solidFill>
                <a:srgbClr val="D1E9F1"/>
              </a:solidFill>
            </c:spPr>
            <c:extLst>
              <c:ext xmlns:c16="http://schemas.microsoft.com/office/drawing/2014/chart" uri="{C3380CC4-5D6E-409C-BE32-E72D297353CC}">
                <c16:uniqueId val="{00000011-6FCD-44FB-A06D-D1C237DC6869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'Marketing Project Management'!$H$14:$H$22</c:f>
              <c:strCache>
                <c:ptCount val="9"/>
                <c:pt idx="0">
                  <c:v>Market Research</c:v>
                </c:pt>
                <c:pt idx="1">
                  <c:v>Marketing Strategy</c:v>
                </c:pt>
                <c:pt idx="2">
                  <c:v>Design &amp; Creative</c:v>
                </c:pt>
                <c:pt idx="3">
                  <c:v>Content Creation</c:v>
                </c:pt>
                <c:pt idx="4">
                  <c:v>Web Development</c:v>
                </c:pt>
                <c:pt idx="5">
                  <c:v>Social Media</c:v>
                </c:pt>
                <c:pt idx="6">
                  <c:v>Email Marketing</c:v>
                </c:pt>
                <c:pt idx="7">
                  <c:v>PR &amp; Media Relations</c:v>
                </c:pt>
                <c:pt idx="8">
                  <c:v>Contingency</c:v>
                </c:pt>
              </c:strCache>
            </c:strRef>
          </c:cat>
          <c:val>
            <c:numRef>
              <c:f>'Marketing Project Management'!$I$14:$I$22</c:f>
              <c:numCache>
                <c:formatCode>_("$"* #,##0.00_);_("$"* \(#,##0.00\);_("$"* "-"??_);_(@_)</c:formatCode>
                <c:ptCount val="9"/>
                <c:pt idx="0">
                  <c:v>5000</c:v>
                </c:pt>
                <c:pt idx="1">
                  <c:v>10000</c:v>
                </c:pt>
                <c:pt idx="2">
                  <c:v>8000</c:v>
                </c:pt>
                <c:pt idx="3">
                  <c:v>6000</c:v>
                </c:pt>
                <c:pt idx="4">
                  <c:v>7000</c:v>
                </c:pt>
                <c:pt idx="5">
                  <c:v>5000</c:v>
                </c:pt>
                <c:pt idx="6">
                  <c:v>6000</c:v>
                </c:pt>
                <c:pt idx="7">
                  <c:v>3000</c:v>
                </c:pt>
                <c:pt idx="8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FCD-44FB-A06D-D1C237DC68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TASK TIMELINE (START DATE)</a:t>
            </a:r>
          </a:p>
        </c:rich>
      </c:tx>
      <c:layout>
        <c:manualLayout>
          <c:xMode val="edge"/>
          <c:yMode val="edge"/>
          <c:x val="0.12268835248053007"/>
          <c:y val="1.7148981779206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'Marketing Project Management'!$C$14:$C$27</c:f>
              <c:strCache>
                <c:ptCount val="9"/>
                <c:pt idx="0">
                  <c:v>Market Research &amp; Analysis</c:v>
                </c:pt>
                <c:pt idx="1">
                  <c:v>Develop Marketing Strategy</c:v>
                </c:pt>
                <c:pt idx="2">
                  <c:v>Design Creative Assets</c:v>
                </c:pt>
                <c:pt idx="3">
                  <c:v>Content Creation</c:v>
                </c:pt>
                <c:pt idx="4">
                  <c:v>Website Development</c:v>
                </c:pt>
                <c:pt idx="5">
                  <c:v>Social Media Campaign</c:v>
                </c:pt>
                <c:pt idx="6">
                  <c:v>Email Marketing</c:v>
                </c:pt>
                <c:pt idx="7">
                  <c:v>PR &amp; Media Relations</c:v>
                </c:pt>
                <c:pt idx="8">
                  <c:v>Quality Assurance &amp; Testing</c:v>
                </c:pt>
              </c:strCache>
            </c:strRef>
          </c:cat>
          <c:val>
            <c:numRef>
              <c:f>'Marketing Project Management'!$D$14:$D$27</c:f>
              <c:numCache>
                <c:formatCode>m/d/yyyy</c:formatCode>
                <c:ptCount val="14"/>
                <c:pt idx="0">
                  <c:v>45214</c:v>
                </c:pt>
                <c:pt idx="1">
                  <c:v>45231</c:v>
                </c:pt>
                <c:pt idx="2">
                  <c:v>45235</c:v>
                </c:pt>
                <c:pt idx="3">
                  <c:v>45240</c:v>
                </c:pt>
                <c:pt idx="4">
                  <c:v>45245</c:v>
                </c:pt>
                <c:pt idx="5">
                  <c:v>45250</c:v>
                </c:pt>
                <c:pt idx="6">
                  <c:v>45245</c:v>
                </c:pt>
                <c:pt idx="7">
                  <c:v>45255</c:v>
                </c:pt>
                <c:pt idx="8">
                  <c:v>45258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E-4BAF-B375-C28DD8605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2820720"/>
        <c:axId val="20628219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2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2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2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'Marketing Project Management'!$C$14:$C$27</c15:sqref>
                        </c15:formulaRef>
                      </c:ext>
                    </c:extLst>
                    <c:strCache>
                      <c:ptCount val="9"/>
                      <c:pt idx="0">
                        <c:v>Market Research &amp; Analysis</c:v>
                      </c:pt>
                      <c:pt idx="1">
                        <c:v>Develop Marketing Strategy</c:v>
                      </c:pt>
                      <c:pt idx="2">
                        <c:v>Design Creative Assets</c:v>
                      </c:pt>
                      <c:pt idx="3">
                        <c:v>Content Creation</c:v>
                      </c:pt>
                      <c:pt idx="4">
                        <c:v>Website Development</c:v>
                      </c:pt>
                      <c:pt idx="5">
                        <c:v>Social Media Campaign</c:v>
                      </c:pt>
                      <c:pt idx="6">
                        <c:v>Email Marketing</c:v>
                      </c:pt>
                      <c:pt idx="7">
                        <c:v>PR &amp; Media Relations</c:v>
                      </c:pt>
                      <c:pt idx="8">
                        <c:v>Quality Assurance &amp; Testing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'Marketing Project Management'!$E$14:$E$27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45230</c:v>
                      </c:pt>
                      <c:pt idx="1">
                        <c:v>45240</c:v>
                      </c:pt>
                      <c:pt idx="2">
                        <c:v>45250</c:v>
                      </c:pt>
                      <c:pt idx="3">
                        <c:v>45255</c:v>
                      </c:pt>
                      <c:pt idx="4">
                        <c:v>45260</c:v>
                      </c:pt>
                      <c:pt idx="5">
                        <c:v>45260</c:v>
                      </c:pt>
                      <c:pt idx="6">
                        <c:v>45258</c:v>
                      </c:pt>
                      <c:pt idx="7">
                        <c:v>45260</c:v>
                      </c:pt>
                      <c:pt idx="8">
                        <c:v>45260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E7E-4BAF-B375-C28DD8605B77}"/>
                  </c:ext>
                </c:extLst>
              </c15:ser>
            </c15:filteredBarSeries>
          </c:ext>
        </c:extLst>
      </c:barChart>
      <c:catAx>
        <c:axId val="206282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21968"/>
        <c:crosses val="autoZero"/>
        <c:auto val="1"/>
        <c:lblAlgn val="ctr"/>
        <c:lblOffset val="100"/>
        <c:noMultiLvlLbl val="0"/>
      </c:catAx>
      <c:valAx>
        <c:axId val="2062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b="1"/>
              <a:t>TASK TIMELINE (END DATE)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'Marketing Project Management'!$C$14:$C$27</c:f>
              <c:strCache>
                <c:ptCount val="9"/>
                <c:pt idx="0">
                  <c:v>Market Research &amp; Analysis</c:v>
                </c:pt>
                <c:pt idx="1">
                  <c:v>Develop Marketing Strategy</c:v>
                </c:pt>
                <c:pt idx="2">
                  <c:v>Design Creative Assets</c:v>
                </c:pt>
                <c:pt idx="3">
                  <c:v>Content Creation</c:v>
                </c:pt>
                <c:pt idx="4">
                  <c:v>Website Development</c:v>
                </c:pt>
                <c:pt idx="5">
                  <c:v>Social Media Campaign</c:v>
                </c:pt>
                <c:pt idx="6">
                  <c:v>Email Marketing</c:v>
                </c:pt>
                <c:pt idx="7">
                  <c:v>PR &amp; Media Relations</c:v>
                </c:pt>
                <c:pt idx="8">
                  <c:v>Quality Assurance &amp; Testing</c:v>
                </c:pt>
              </c:strCache>
              <c:extLst xmlns:c15="http://schemas.microsoft.com/office/drawing/2012/chart"/>
            </c:strRef>
          </c:cat>
          <c:val>
            <c:numRef>
              <c:f>'Marketing Project Management'!$E$14:$E$27</c:f>
              <c:numCache>
                <c:formatCode>m/d/yyyy</c:formatCode>
                <c:ptCount val="14"/>
                <c:pt idx="0">
                  <c:v>45230</c:v>
                </c:pt>
                <c:pt idx="1">
                  <c:v>45240</c:v>
                </c:pt>
                <c:pt idx="2">
                  <c:v>45250</c:v>
                </c:pt>
                <c:pt idx="3">
                  <c:v>45255</c:v>
                </c:pt>
                <c:pt idx="4">
                  <c:v>45260</c:v>
                </c:pt>
                <c:pt idx="5">
                  <c:v>45260</c:v>
                </c:pt>
                <c:pt idx="6">
                  <c:v>45258</c:v>
                </c:pt>
                <c:pt idx="7">
                  <c:v>45260</c:v>
                </c:pt>
                <c:pt idx="8">
                  <c:v>45260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E6A0-4642-8728-D77545EE11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62820720"/>
        <c:axId val="20628219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1"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1"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1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'Marketing Project Management'!$C$14:$C$27</c15:sqref>
                        </c15:formulaRef>
                      </c:ext>
                    </c:extLst>
                    <c:strCache>
                      <c:ptCount val="9"/>
                      <c:pt idx="0">
                        <c:v>Market Research &amp; Analysis</c:v>
                      </c:pt>
                      <c:pt idx="1">
                        <c:v>Develop Marketing Strategy</c:v>
                      </c:pt>
                      <c:pt idx="2">
                        <c:v>Design Creative Assets</c:v>
                      </c:pt>
                      <c:pt idx="3">
                        <c:v>Content Creation</c:v>
                      </c:pt>
                      <c:pt idx="4">
                        <c:v>Website Development</c:v>
                      </c:pt>
                      <c:pt idx="5">
                        <c:v>Social Media Campaign</c:v>
                      </c:pt>
                      <c:pt idx="6">
                        <c:v>Email Marketing</c:v>
                      </c:pt>
                      <c:pt idx="7">
                        <c:v>PR &amp; Media Relations</c:v>
                      </c:pt>
                      <c:pt idx="8">
                        <c:v>Quality Assurance &amp; Testing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'Marketing Project Management'!$D$14:$D$27</c15:sqref>
                        </c15:formulaRef>
                      </c:ext>
                    </c:extLst>
                    <c:numCache>
                      <c:formatCode>m/d/yyyy</c:formatCode>
                      <c:ptCount val="14"/>
                      <c:pt idx="0">
                        <c:v>45214</c:v>
                      </c:pt>
                      <c:pt idx="1">
                        <c:v>45231</c:v>
                      </c:pt>
                      <c:pt idx="2">
                        <c:v>45235</c:v>
                      </c:pt>
                      <c:pt idx="3">
                        <c:v>45240</c:v>
                      </c:pt>
                      <c:pt idx="4">
                        <c:v>45245</c:v>
                      </c:pt>
                      <c:pt idx="5">
                        <c:v>45250</c:v>
                      </c:pt>
                      <c:pt idx="6">
                        <c:v>45245</c:v>
                      </c:pt>
                      <c:pt idx="7">
                        <c:v>45255</c:v>
                      </c:pt>
                      <c:pt idx="8">
                        <c:v>45258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6A0-4642-8728-D77545EE11D4}"/>
                  </c:ext>
                </c:extLst>
              </c15:ser>
            </c15:filteredBarSeries>
          </c:ext>
        </c:extLst>
      </c:barChart>
      <c:catAx>
        <c:axId val="206282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21968"/>
        <c:crosses val="autoZero"/>
        <c:auto val="1"/>
        <c:lblAlgn val="ctr"/>
        <c:lblOffset val="100"/>
        <c:noMultiLvlLbl val="0"/>
      </c:catAx>
      <c:valAx>
        <c:axId val="206282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2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1117599</xdr:colOff>
      <xdr:row>2</xdr:row>
      <xdr:rowOff>323850</xdr:rowOff>
    </xdr:from>
    <xdr:ext cx="4133851" cy="3019425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3</xdr:col>
      <xdr:colOff>73025</xdr:colOff>
      <xdr:row>3</xdr:row>
      <xdr:rowOff>9524</xdr:rowOff>
    </xdr:from>
    <xdr:to>
      <xdr:col>6</xdr:col>
      <xdr:colOff>82550</xdr:colOff>
      <xdr:row>9</xdr:row>
      <xdr:rowOff>419099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4569D7-2C1D-48BE-A3D2-0DFF81C37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3</xdr:row>
      <xdr:rowOff>12700</xdr:rowOff>
    </xdr:from>
    <xdr:to>
      <xdr:col>8</xdr:col>
      <xdr:colOff>1063625</xdr:colOff>
      <xdr:row>9</xdr:row>
      <xdr:rowOff>422275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CF99B6-AB32-4500-A5CA-70304953C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82225" cy="4124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ADD8E6"/>
      </a:accent1>
      <a:accent2>
        <a:srgbClr val="CCCCCC"/>
      </a:accent2>
      <a:accent3>
        <a:srgbClr val="BDDFEB"/>
      </a:accent3>
      <a:accent4>
        <a:srgbClr val="B7B7B7"/>
      </a:accent4>
      <a:accent5>
        <a:srgbClr val="CDE7F0"/>
      </a:accent5>
      <a:accent6>
        <a:srgbClr val="999999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cs.google.com/spreadsheets/d/1fJtCMvXoigfc9dWaKu-HKbVSBFIkUt4-pysPxmCw8Sg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28"/>
  <sheetViews>
    <sheetView showGridLines="0" tabSelected="1" workbookViewId="0">
      <selection activeCell="H3" sqref="H3"/>
    </sheetView>
  </sheetViews>
  <sheetFormatPr defaultColWidth="12.6328125" defaultRowHeight="15.75" customHeight="1" x14ac:dyDescent="0.25"/>
  <cols>
    <col min="1" max="1" width="2.453125" customWidth="1"/>
    <col min="2" max="2" width="20.08984375" customWidth="1"/>
    <col min="3" max="3" width="35.08984375" customWidth="1"/>
    <col min="6" max="6" width="20.7265625" customWidth="1"/>
    <col min="7" max="7" width="2.453125" customWidth="1"/>
    <col min="8" max="8" width="30.6328125" customWidth="1"/>
    <col min="9" max="9" width="22.6328125" customWidth="1"/>
    <col min="10" max="10" width="2.453125" customWidth="1"/>
    <col min="11" max="11" width="25.90625" customWidth="1"/>
    <col min="12" max="12" width="25.08984375" customWidth="1"/>
    <col min="13" max="13" width="2.453125" customWidth="1"/>
  </cols>
  <sheetData>
    <row r="1" spans="1:13" ht="26.25" customHeight="1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</row>
    <row r="2" spans="1:13" ht="52.5" customHeight="1" x14ac:dyDescent="0.25">
      <c r="A2" s="3"/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3"/>
    </row>
    <row r="3" spans="1:13" ht="26.25" customHeight="1" x14ac:dyDescent="0.25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</row>
    <row r="4" spans="1:13" ht="33.75" customHeight="1" x14ac:dyDescent="0.25">
      <c r="A4" s="1"/>
      <c r="B4" s="26" t="s">
        <v>1</v>
      </c>
      <c r="C4" s="27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3.75" customHeight="1" x14ac:dyDescent="0.25">
      <c r="A5" s="1"/>
      <c r="B5" s="4" t="s">
        <v>2</v>
      </c>
      <c r="C5" s="5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3.75" customHeight="1" x14ac:dyDescent="0.25">
      <c r="A6" s="1"/>
      <c r="B6" s="4" t="s">
        <v>4</v>
      </c>
      <c r="C6" s="6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3.75" customHeight="1" x14ac:dyDescent="0.25">
      <c r="A7" s="1"/>
      <c r="B7" s="4" t="s">
        <v>6</v>
      </c>
      <c r="C7" s="7">
        <v>45214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3.75" customHeight="1" x14ac:dyDescent="0.25">
      <c r="A8" s="1"/>
      <c r="B8" s="4" t="s">
        <v>7</v>
      </c>
      <c r="C8" s="7">
        <v>45260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3.75" customHeight="1" x14ac:dyDescent="0.25">
      <c r="A9" s="1"/>
      <c r="B9" s="4" t="s">
        <v>8</v>
      </c>
      <c r="C9" s="8">
        <v>50000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3.75" customHeight="1" x14ac:dyDescent="0.25">
      <c r="A10" s="1"/>
      <c r="B10" s="4" t="s">
        <v>9</v>
      </c>
      <c r="C10" s="6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6.25" customHeight="1" x14ac:dyDescent="0.25">
      <c r="A12" s="1"/>
      <c r="B12" s="26" t="s">
        <v>11</v>
      </c>
      <c r="C12" s="28"/>
      <c r="D12" s="28"/>
      <c r="E12" s="28"/>
      <c r="F12" s="27"/>
      <c r="G12" s="1"/>
      <c r="H12" s="26" t="s">
        <v>12</v>
      </c>
      <c r="I12" s="27"/>
      <c r="J12" s="1"/>
      <c r="K12" s="26" t="s">
        <v>13</v>
      </c>
      <c r="L12" s="27"/>
      <c r="M12" s="1"/>
    </row>
    <row r="13" spans="1:13" ht="26.25" customHeight="1" x14ac:dyDescent="0.25">
      <c r="A13" s="1"/>
      <c r="B13" s="9" t="s">
        <v>14</v>
      </c>
      <c r="C13" s="9" t="s">
        <v>15</v>
      </c>
      <c r="D13" s="9" t="s">
        <v>6</v>
      </c>
      <c r="E13" s="9" t="s">
        <v>7</v>
      </c>
      <c r="F13" s="9" t="s">
        <v>16</v>
      </c>
      <c r="G13" s="1"/>
      <c r="H13" s="9" t="s">
        <v>17</v>
      </c>
      <c r="I13" s="9" t="s">
        <v>18</v>
      </c>
      <c r="J13" s="1"/>
      <c r="K13" s="9" t="s">
        <v>19</v>
      </c>
      <c r="L13" s="9" t="s">
        <v>20</v>
      </c>
      <c r="M13" s="1"/>
    </row>
    <row r="14" spans="1:13" ht="26.25" customHeight="1" x14ac:dyDescent="0.25">
      <c r="A14" s="1"/>
      <c r="B14" s="6" t="s">
        <v>21</v>
      </c>
      <c r="C14" s="10" t="s">
        <v>22</v>
      </c>
      <c r="D14" s="31">
        <v>45214</v>
      </c>
      <c r="E14" s="31">
        <v>45230</v>
      </c>
      <c r="F14" s="6" t="s">
        <v>23</v>
      </c>
      <c r="G14" s="1"/>
      <c r="H14" s="10" t="s">
        <v>24</v>
      </c>
      <c r="I14" s="11">
        <v>5000</v>
      </c>
      <c r="J14" s="1"/>
      <c r="K14" s="10" t="s">
        <v>25</v>
      </c>
      <c r="L14" s="12" t="str">
        <f>IFERROR(VLOOKUP(K14, Setup!E:F, 2, 0), "")</f>
        <v>Project Manager</v>
      </c>
      <c r="M14" s="1"/>
    </row>
    <row r="15" spans="1:13" ht="26.25" customHeight="1" x14ac:dyDescent="0.25">
      <c r="A15" s="1"/>
      <c r="B15" s="6" t="s">
        <v>21</v>
      </c>
      <c r="C15" s="10" t="s">
        <v>26</v>
      </c>
      <c r="D15" s="31">
        <v>45231</v>
      </c>
      <c r="E15" s="31">
        <v>45240</v>
      </c>
      <c r="F15" s="6" t="s">
        <v>27</v>
      </c>
      <c r="G15" s="1"/>
      <c r="H15" s="10" t="s">
        <v>28</v>
      </c>
      <c r="I15" s="11">
        <v>10000</v>
      </c>
      <c r="J15" s="1"/>
      <c r="K15" s="10" t="s">
        <v>29</v>
      </c>
      <c r="L15" s="12" t="str">
        <f>IFERROR(VLOOKUP(K15, Setup!E:F, 2, 0), "")</f>
        <v>Designer</v>
      </c>
      <c r="M15" s="1"/>
    </row>
    <row r="16" spans="1:13" ht="26.25" customHeight="1" x14ac:dyDescent="0.25">
      <c r="A16" s="1"/>
      <c r="B16" s="6" t="s">
        <v>30</v>
      </c>
      <c r="C16" s="10" t="s">
        <v>31</v>
      </c>
      <c r="D16" s="31">
        <v>45235</v>
      </c>
      <c r="E16" s="31">
        <v>45250</v>
      </c>
      <c r="F16" s="6" t="s">
        <v>27</v>
      </c>
      <c r="G16" s="1"/>
      <c r="H16" s="10" t="s">
        <v>32</v>
      </c>
      <c r="I16" s="11">
        <v>8000</v>
      </c>
      <c r="J16" s="1"/>
      <c r="K16" s="10" t="s">
        <v>5</v>
      </c>
      <c r="L16" s="12" t="str">
        <f>IFERROR(VLOOKUP(K16, Setup!E:F, 2, 0), "")</f>
        <v>Web Developer</v>
      </c>
      <c r="M16" s="1"/>
    </row>
    <row r="17" spans="1:13" ht="26.25" customHeight="1" x14ac:dyDescent="0.25">
      <c r="A17" s="1"/>
      <c r="B17" s="6" t="s">
        <v>33</v>
      </c>
      <c r="C17" s="10" t="s">
        <v>34</v>
      </c>
      <c r="D17" s="31">
        <v>45240</v>
      </c>
      <c r="E17" s="31">
        <v>45255</v>
      </c>
      <c r="F17" s="6" t="s">
        <v>27</v>
      </c>
      <c r="G17" s="1"/>
      <c r="H17" s="10" t="s">
        <v>34</v>
      </c>
      <c r="I17" s="11">
        <v>6000</v>
      </c>
      <c r="J17" s="1"/>
      <c r="K17" s="10" t="s">
        <v>35</v>
      </c>
      <c r="L17" s="12" t="str">
        <f>IFERROR(VLOOKUP(K17, Setup!E:F, 2, 0), "")</f>
        <v>Content Writer</v>
      </c>
      <c r="M17" s="1"/>
    </row>
    <row r="18" spans="1:13" ht="26.25" customHeight="1" x14ac:dyDescent="0.25">
      <c r="A18" s="1"/>
      <c r="B18" s="6" t="s">
        <v>36</v>
      </c>
      <c r="C18" s="10" t="s">
        <v>37</v>
      </c>
      <c r="D18" s="31">
        <v>45245</v>
      </c>
      <c r="E18" s="31">
        <v>45260</v>
      </c>
      <c r="F18" s="6" t="s">
        <v>27</v>
      </c>
      <c r="G18" s="1"/>
      <c r="H18" s="10" t="s">
        <v>38</v>
      </c>
      <c r="I18" s="11">
        <v>7000</v>
      </c>
      <c r="J18" s="1"/>
      <c r="K18" s="10" t="s">
        <v>39</v>
      </c>
      <c r="L18" s="12" t="str">
        <f>IFERROR(VLOOKUP(K18, Setup!E:F, 2, 0), "")</f>
        <v>Social Media Manager</v>
      </c>
      <c r="M18" s="1"/>
    </row>
    <row r="19" spans="1:13" ht="26.25" customHeight="1" x14ac:dyDescent="0.25">
      <c r="A19" s="1"/>
      <c r="B19" s="6" t="s">
        <v>40</v>
      </c>
      <c r="C19" s="10" t="s">
        <v>41</v>
      </c>
      <c r="D19" s="31">
        <v>45250</v>
      </c>
      <c r="E19" s="31">
        <v>45260</v>
      </c>
      <c r="F19" s="6" t="s">
        <v>27</v>
      </c>
      <c r="G19" s="1"/>
      <c r="H19" s="10" t="s">
        <v>40</v>
      </c>
      <c r="I19" s="11">
        <v>5000</v>
      </c>
      <c r="J19" s="1"/>
      <c r="K19" s="10" t="s">
        <v>42</v>
      </c>
      <c r="L19" s="12" t="str">
        <f>IFERROR(VLOOKUP(K19, Setup!E:F, 2, 0), "")</f>
        <v>PR Specialist</v>
      </c>
      <c r="M19" s="1"/>
    </row>
    <row r="20" spans="1:13" ht="26.25" customHeight="1" x14ac:dyDescent="0.25">
      <c r="A20" s="1"/>
      <c r="B20" s="6" t="s">
        <v>21</v>
      </c>
      <c r="C20" s="10" t="s">
        <v>43</v>
      </c>
      <c r="D20" s="31">
        <v>45245</v>
      </c>
      <c r="E20" s="31">
        <v>45258</v>
      </c>
      <c r="F20" s="6" t="s">
        <v>27</v>
      </c>
      <c r="G20" s="1"/>
      <c r="H20" s="10" t="s">
        <v>43</v>
      </c>
      <c r="I20" s="11">
        <v>6000</v>
      </c>
      <c r="J20" s="1"/>
      <c r="K20" s="13"/>
      <c r="L20" s="12" t="str">
        <f>IFERROR(VLOOKUP(K20, Setup!E:F, 2, 0), "")</f>
        <v/>
      </c>
      <c r="M20" s="1"/>
    </row>
    <row r="21" spans="1:13" ht="26.25" customHeight="1" x14ac:dyDescent="0.25">
      <c r="A21" s="1"/>
      <c r="B21" s="6" t="s">
        <v>44</v>
      </c>
      <c r="C21" s="10" t="s">
        <v>45</v>
      </c>
      <c r="D21" s="31">
        <v>45255</v>
      </c>
      <c r="E21" s="31">
        <v>45260</v>
      </c>
      <c r="F21" s="6" t="s">
        <v>27</v>
      </c>
      <c r="G21" s="1"/>
      <c r="H21" s="10" t="s">
        <v>45</v>
      </c>
      <c r="I21" s="11">
        <v>3000</v>
      </c>
      <c r="J21" s="1"/>
      <c r="K21" s="13"/>
      <c r="L21" s="12" t="str">
        <f>IFERROR(VLOOKUP(K21, Setup!E:F, 2, 0), "")</f>
        <v/>
      </c>
      <c r="M21" s="1"/>
    </row>
    <row r="22" spans="1:13" ht="26.25" customHeight="1" x14ac:dyDescent="0.25">
      <c r="A22" s="1"/>
      <c r="B22" s="6" t="s">
        <v>46</v>
      </c>
      <c r="C22" s="10" t="s">
        <v>47</v>
      </c>
      <c r="D22" s="31">
        <v>45258</v>
      </c>
      <c r="E22" s="31">
        <v>45260</v>
      </c>
      <c r="F22" s="6" t="s">
        <v>27</v>
      </c>
      <c r="G22" s="1"/>
      <c r="H22" s="10" t="s">
        <v>48</v>
      </c>
      <c r="I22" s="11">
        <v>10000</v>
      </c>
      <c r="J22" s="1"/>
      <c r="K22" s="13"/>
      <c r="L22" s="12" t="str">
        <f>IFERROR(VLOOKUP(K22, Setup!E:F, 2, 0), "")</f>
        <v/>
      </c>
      <c r="M22" s="1"/>
    </row>
    <row r="23" spans="1:13" ht="26.25" customHeight="1" x14ac:dyDescent="0.25">
      <c r="A23" s="1"/>
      <c r="B23" s="14"/>
      <c r="C23" s="13"/>
      <c r="D23" s="31"/>
      <c r="E23" s="31"/>
      <c r="F23" s="14"/>
      <c r="G23" s="1"/>
      <c r="H23" s="13"/>
      <c r="I23" s="15"/>
      <c r="J23" s="1"/>
      <c r="K23" s="13"/>
      <c r="L23" s="12" t="str">
        <f>IFERROR(VLOOKUP(K23, Setup!E:F, 2, 0), "")</f>
        <v/>
      </c>
      <c r="M23" s="1"/>
    </row>
    <row r="24" spans="1:13" ht="26.25" customHeight="1" x14ac:dyDescent="0.25">
      <c r="A24" s="1"/>
      <c r="B24" s="14"/>
      <c r="C24" s="13"/>
      <c r="D24" s="31"/>
      <c r="E24" s="31"/>
      <c r="F24" s="14"/>
      <c r="G24" s="1"/>
      <c r="H24" s="13"/>
      <c r="I24" s="15"/>
      <c r="J24" s="1"/>
      <c r="K24" s="13"/>
      <c r="L24" s="12" t="str">
        <f>IFERROR(VLOOKUP(K24, Setup!E:F, 2, 0), "")</f>
        <v/>
      </c>
      <c r="M24" s="1"/>
    </row>
    <row r="25" spans="1:13" ht="26.25" customHeight="1" x14ac:dyDescent="0.25">
      <c r="A25" s="1"/>
      <c r="B25" s="14"/>
      <c r="C25" s="13"/>
      <c r="D25" s="31"/>
      <c r="E25" s="31"/>
      <c r="F25" s="14"/>
      <c r="G25" s="1"/>
      <c r="H25" s="13"/>
      <c r="I25" s="15"/>
      <c r="J25" s="1"/>
      <c r="K25" s="13"/>
      <c r="L25" s="12" t="str">
        <f>IFERROR(VLOOKUP(K25, Setup!E:F, 2, 0), "")</f>
        <v/>
      </c>
      <c r="M25" s="1"/>
    </row>
    <row r="26" spans="1:13" ht="26.25" customHeight="1" x14ac:dyDescent="0.25">
      <c r="A26" s="1"/>
      <c r="B26" s="14"/>
      <c r="C26" s="13"/>
      <c r="D26" s="31"/>
      <c r="E26" s="31"/>
      <c r="F26" s="14"/>
      <c r="G26" s="1"/>
      <c r="H26" s="13"/>
      <c r="I26" s="15"/>
      <c r="J26" s="1"/>
      <c r="K26" s="13"/>
      <c r="L26" s="12" t="str">
        <f>IFERROR(VLOOKUP(K26, Setup!E:F, 2, 0), "")</f>
        <v/>
      </c>
      <c r="M26" s="1"/>
    </row>
    <row r="27" spans="1:13" ht="26.25" customHeight="1" x14ac:dyDescent="0.25">
      <c r="A27" s="1"/>
      <c r="B27" s="14"/>
      <c r="C27" s="13"/>
      <c r="D27" s="31"/>
      <c r="E27" s="31"/>
      <c r="F27" s="14"/>
      <c r="G27" s="1"/>
      <c r="H27" s="16" t="s">
        <v>49</v>
      </c>
      <c r="I27" s="17">
        <f>SUM(I14:I26)</f>
        <v>60000</v>
      </c>
      <c r="J27" s="1"/>
      <c r="K27" s="13"/>
      <c r="L27" s="12" t="str">
        <f>IFERROR(VLOOKUP(K27, Setup!E:F, 2, 0), "")</f>
        <v/>
      </c>
      <c r="M27" s="1"/>
    </row>
    <row r="28" spans="1:13" ht="26.25" customHeight="1" x14ac:dyDescent="0.25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</row>
  </sheetData>
  <mergeCells count="5">
    <mergeCell ref="B2:L2"/>
    <mergeCell ref="B4:C4"/>
    <mergeCell ref="B12:F12"/>
    <mergeCell ref="H12:I12"/>
    <mergeCell ref="K12:L12"/>
  </mergeCells>
  <conditionalFormatting sqref="F14:F27">
    <cfRule type="cellIs" dxfId="2" priority="1" operator="equal">
      <formula>"Completed"</formula>
    </cfRule>
  </conditionalFormatting>
  <conditionalFormatting sqref="F14:F27">
    <cfRule type="cellIs" dxfId="1" priority="2" operator="equal">
      <formula>"In Progress"</formula>
    </cfRule>
  </conditionalFormatting>
  <conditionalFormatting sqref="F14:F27">
    <cfRule type="cellIs" dxfId="0" priority="3" operator="equal">
      <formula>"Not Started"</formula>
    </cfRule>
  </conditionalFormatting>
  <dataValidations count="1">
    <dataValidation type="list" allowBlank="1" showErrorMessage="1" sqref="F14:F27" xr:uid="{00000000-0002-0000-0000-000004000000}">
      <formula1>"Not Started,In Progress,Completed"</formula1>
    </dataValidation>
  </dataValidations>
  <printOptions horizontalCentered="1"/>
  <pageMargins left="0.7" right="0.7" top="0.75" bottom="0.75" header="0" footer="0"/>
  <pageSetup scale="58" fitToHeight="0" pageOrder="overThenDown" orientation="landscape" cellComments="atEnd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Setup!$E$5:$E$18</xm:f>
          </x14:formula1>
          <xm:sqref>C6 K14:K27</xm:sqref>
        </x14:dataValidation>
        <x14:dataValidation type="list" allowBlank="1" showErrorMessage="1" xr:uid="{00000000-0002-0000-0000-000001000000}">
          <x14:formula1>
            <xm:f>Setup!$B$5:$B$18</xm:f>
          </x14:formula1>
          <xm:sqref>B14:B27</xm:sqref>
        </x14:dataValidation>
        <x14:dataValidation type="list" allowBlank="1" showErrorMessage="1" xr:uid="{00000000-0002-0000-0000-000003000000}">
          <x14:formula1>
            <xm:f>Setup!$C$5:$C$18</xm:f>
          </x14:formula1>
          <xm:sqref>H14:H26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19"/>
  <sheetViews>
    <sheetView showGridLines="0" workbookViewId="0">
      <selection activeCell="F11" sqref="F11"/>
    </sheetView>
  </sheetViews>
  <sheetFormatPr defaultColWidth="12.6328125" defaultRowHeight="15.75" customHeight="1" x14ac:dyDescent="0.25"/>
  <cols>
    <col min="1" max="1" width="2.453125" customWidth="1"/>
    <col min="2" max="3" width="29.26953125" customWidth="1"/>
    <col min="4" max="4" width="2.453125" customWidth="1"/>
    <col min="5" max="6" width="29.26953125" customWidth="1"/>
    <col min="7" max="7" width="2.453125" customWidth="1"/>
  </cols>
  <sheetData>
    <row r="1" spans="1:7" ht="22.5" customHeight="1" x14ac:dyDescent="0.25">
      <c r="A1" s="18"/>
      <c r="B1" s="18"/>
      <c r="C1" s="18"/>
      <c r="D1" s="18"/>
      <c r="E1" s="18"/>
      <c r="F1" s="18"/>
      <c r="G1" s="18"/>
    </row>
    <row r="2" spans="1:7" ht="37.5" customHeight="1" x14ac:dyDescent="0.25">
      <c r="A2" s="18"/>
      <c r="B2" s="29" t="s">
        <v>50</v>
      </c>
      <c r="C2" s="25"/>
      <c r="D2" s="25"/>
      <c r="E2" s="25"/>
      <c r="F2" s="25"/>
      <c r="G2" s="18"/>
    </row>
    <row r="3" spans="1:7" ht="22.5" customHeight="1" x14ac:dyDescent="0.25">
      <c r="A3" s="18"/>
      <c r="B3" s="18"/>
      <c r="C3" s="18"/>
      <c r="D3" s="18"/>
      <c r="E3" s="18"/>
      <c r="F3" s="18"/>
      <c r="G3" s="18"/>
    </row>
    <row r="4" spans="1:7" ht="22.5" customHeight="1" x14ac:dyDescent="0.25">
      <c r="A4" s="18"/>
      <c r="B4" s="9" t="s">
        <v>14</v>
      </c>
      <c r="C4" s="9" t="s">
        <v>17</v>
      </c>
      <c r="D4" s="18"/>
      <c r="E4" s="9" t="s">
        <v>19</v>
      </c>
      <c r="F4" s="9" t="s">
        <v>20</v>
      </c>
      <c r="G4" s="18"/>
    </row>
    <row r="5" spans="1:7" ht="22.5" customHeight="1" x14ac:dyDescent="0.25">
      <c r="A5" s="18"/>
      <c r="B5" s="6" t="s">
        <v>21</v>
      </c>
      <c r="C5" s="6" t="s">
        <v>24</v>
      </c>
      <c r="D5" s="19"/>
      <c r="E5" s="6" t="s">
        <v>25</v>
      </c>
      <c r="F5" s="20" t="s">
        <v>4</v>
      </c>
      <c r="G5" s="18"/>
    </row>
    <row r="6" spans="1:7" ht="22.5" customHeight="1" x14ac:dyDescent="0.25">
      <c r="A6" s="18"/>
      <c r="B6" s="6" t="s">
        <v>30</v>
      </c>
      <c r="C6" s="6" t="s">
        <v>28</v>
      </c>
      <c r="D6" s="19"/>
      <c r="E6" s="6" t="s">
        <v>29</v>
      </c>
      <c r="F6" s="20" t="s">
        <v>51</v>
      </c>
      <c r="G6" s="18"/>
    </row>
    <row r="7" spans="1:7" ht="22.5" customHeight="1" x14ac:dyDescent="0.25">
      <c r="A7" s="18"/>
      <c r="B7" s="6" t="s">
        <v>33</v>
      </c>
      <c r="C7" s="6" t="s">
        <v>32</v>
      </c>
      <c r="D7" s="19"/>
      <c r="E7" s="6" t="s">
        <v>5</v>
      </c>
      <c r="F7" s="20" t="s">
        <v>52</v>
      </c>
      <c r="G7" s="18"/>
    </row>
    <row r="8" spans="1:7" ht="22.5" customHeight="1" x14ac:dyDescent="0.25">
      <c r="A8" s="18"/>
      <c r="B8" s="6" t="s">
        <v>36</v>
      </c>
      <c r="C8" s="6" t="s">
        <v>34</v>
      </c>
      <c r="D8" s="19"/>
      <c r="E8" s="6" t="s">
        <v>35</v>
      </c>
      <c r="F8" s="20" t="s">
        <v>53</v>
      </c>
      <c r="G8" s="18"/>
    </row>
    <row r="9" spans="1:7" ht="22.5" customHeight="1" x14ac:dyDescent="0.25">
      <c r="A9" s="18"/>
      <c r="B9" s="6" t="s">
        <v>40</v>
      </c>
      <c r="C9" s="6" t="s">
        <v>38</v>
      </c>
      <c r="D9" s="19"/>
      <c r="E9" s="6" t="s">
        <v>39</v>
      </c>
      <c r="F9" s="20" t="s">
        <v>54</v>
      </c>
      <c r="G9" s="18"/>
    </row>
    <row r="10" spans="1:7" ht="22.5" customHeight="1" x14ac:dyDescent="0.25">
      <c r="A10" s="18"/>
      <c r="B10" s="6" t="s">
        <v>21</v>
      </c>
      <c r="C10" s="6" t="s">
        <v>40</v>
      </c>
      <c r="D10" s="19"/>
      <c r="E10" s="6" t="s">
        <v>42</v>
      </c>
      <c r="F10" s="20" t="s">
        <v>55</v>
      </c>
      <c r="G10" s="18"/>
    </row>
    <row r="11" spans="1:7" ht="22.5" customHeight="1" x14ac:dyDescent="0.25">
      <c r="A11" s="18"/>
      <c r="B11" s="6" t="s">
        <v>44</v>
      </c>
      <c r="C11" s="6" t="s">
        <v>43</v>
      </c>
      <c r="D11" s="19"/>
      <c r="E11" s="14"/>
      <c r="F11" s="21"/>
      <c r="G11" s="18"/>
    </row>
    <row r="12" spans="1:7" ht="22.5" customHeight="1" x14ac:dyDescent="0.25">
      <c r="A12" s="18"/>
      <c r="B12" s="6" t="s">
        <v>46</v>
      </c>
      <c r="C12" s="6" t="s">
        <v>45</v>
      </c>
      <c r="D12" s="19"/>
      <c r="E12" s="14"/>
      <c r="F12" s="21"/>
      <c r="G12" s="18"/>
    </row>
    <row r="13" spans="1:7" ht="22.5" customHeight="1" x14ac:dyDescent="0.25">
      <c r="A13" s="18"/>
      <c r="B13" s="6"/>
      <c r="C13" s="6" t="s">
        <v>48</v>
      </c>
      <c r="D13" s="19"/>
      <c r="E13" s="14"/>
      <c r="F13" s="21"/>
      <c r="G13" s="18"/>
    </row>
    <row r="14" spans="1:7" ht="22.5" customHeight="1" x14ac:dyDescent="0.25">
      <c r="A14" s="18"/>
      <c r="B14" s="14"/>
      <c r="C14" s="14"/>
      <c r="D14" s="19"/>
      <c r="E14" s="14"/>
      <c r="F14" s="21"/>
      <c r="G14" s="18"/>
    </row>
    <row r="15" spans="1:7" ht="22.5" customHeight="1" x14ac:dyDescent="0.25">
      <c r="A15" s="18"/>
      <c r="B15" s="14"/>
      <c r="C15" s="14"/>
      <c r="D15" s="19"/>
      <c r="E15" s="14"/>
      <c r="F15" s="21"/>
      <c r="G15" s="18"/>
    </row>
    <row r="16" spans="1:7" ht="22.5" customHeight="1" x14ac:dyDescent="0.25">
      <c r="A16" s="18"/>
      <c r="B16" s="14"/>
      <c r="C16" s="14"/>
      <c r="D16" s="19"/>
      <c r="E16" s="14"/>
      <c r="F16" s="21"/>
      <c r="G16" s="18"/>
    </row>
    <row r="17" spans="1:7" ht="22.5" customHeight="1" x14ac:dyDescent="0.25">
      <c r="A17" s="18"/>
      <c r="B17" s="14"/>
      <c r="C17" s="14"/>
      <c r="D17" s="19"/>
      <c r="E17" s="14"/>
      <c r="F17" s="21"/>
      <c r="G17" s="18"/>
    </row>
    <row r="18" spans="1:7" ht="22.5" customHeight="1" x14ac:dyDescent="0.25">
      <c r="A18" s="18"/>
      <c r="B18" s="14"/>
      <c r="C18" s="14"/>
      <c r="D18" s="19"/>
      <c r="E18" s="14"/>
      <c r="F18" s="21"/>
      <c r="G18" s="18"/>
    </row>
    <row r="19" spans="1:7" ht="22.5" customHeight="1" x14ac:dyDescent="0.25">
      <c r="A19" s="18"/>
      <c r="B19" s="18"/>
      <c r="C19" s="18"/>
      <c r="D19" s="18"/>
      <c r="E19" s="18"/>
      <c r="F19" s="18"/>
      <c r="G19" s="18"/>
    </row>
  </sheetData>
  <mergeCells count="1">
    <mergeCell ref="B2:F2"/>
  </mergeCells>
  <printOptions horizontalCentered="1"/>
  <pageMargins left="0.7" right="0.7" top="0.75" bottom="0.75" header="0" footer="0"/>
  <pageSetup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31"/>
  <sheetViews>
    <sheetView showGridLines="0" workbookViewId="0">
      <selection activeCell="F11" sqref="F11"/>
    </sheetView>
  </sheetViews>
  <sheetFormatPr defaultColWidth="12.6328125" defaultRowHeight="15.75" customHeight="1" x14ac:dyDescent="0.25"/>
  <sheetData>
    <row r="1" spans="1:11" ht="15.75" customHeight="1" x14ac:dyDescent="0.25">
      <c r="A1" s="22" t="s">
        <v>56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5.75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5.75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15.7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1" ht="15.75" customHeight="1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15.75" customHeight="1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ht="15.75" customHeight="1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 spans="1:11" ht="15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1" ht="15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ht="15.75" customHeight="1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.75" customHeight="1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.7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.75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.75" customHeight="1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.7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.7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.7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.7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.7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.7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.7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.7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.75" customHeight="1" x14ac:dyDescent="0.35">
      <c r="A23" s="23"/>
      <c r="B23" s="30" t="s">
        <v>57</v>
      </c>
      <c r="C23" s="25"/>
      <c r="D23" s="25"/>
      <c r="E23" s="25"/>
      <c r="F23" s="25"/>
      <c r="G23" s="25"/>
      <c r="H23" s="25"/>
      <c r="I23" s="25"/>
      <c r="J23" s="25"/>
      <c r="K23" s="25"/>
    </row>
    <row r="24" spans="1:11" ht="15.7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5.75" customHeight="1" x14ac:dyDescent="0.35">
      <c r="A25" s="23"/>
      <c r="B25" s="30" t="s">
        <v>58</v>
      </c>
      <c r="C25" s="25"/>
      <c r="D25" s="25"/>
      <c r="E25" s="25"/>
      <c r="F25" s="25"/>
      <c r="G25" s="25"/>
      <c r="H25" s="25"/>
      <c r="I25" s="25"/>
      <c r="J25" s="25"/>
      <c r="K25" s="25"/>
    </row>
    <row r="26" spans="1:11" ht="15.75" customHeight="1" x14ac:dyDescent="0.35">
      <c r="A26" s="23"/>
      <c r="B26" s="30" t="s">
        <v>59</v>
      </c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5.75" customHeight="1" x14ac:dyDescent="0.35">
      <c r="A27" s="23"/>
      <c r="B27" s="30" t="s">
        <v>60</v>
      </c>
      <c r="C27" s="25"/>
      <c r="D27" s="25"/>
      <c r="E27" s="25"/>
      <c r="F27" s="25"/>
      <c r="G27" s="25"/>
      <c r="H27" s="25"/>
      <c r="I27" s="25"/>
      <c r="J27" s="25"/>
      <c r="K27" s="25"/>
    </row>
    <row r="28" spans="1:11" ht="15.7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5.75" customHeight="1" x14ac:dyDescent="0.35">
      <c r="A29" s="23"/>
      <c r="B29" s="30" t="s">
        <v>61</v>
      </c>
      <c r="C29" s="25"/>
      <c r="D29" s="25"/>
      <c r="E29" s="25"/>
      <c r="F29" s="25"/>
      <c r="G29" s="25"/>
      <c r="H29" s="25"/>
      <c r="I29" s="25"/>
      <c r="J29" s="25"/>
      <c r="K29" s="25"/>
    </row>
    <row r="30" spans="1:11" ht="15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5.75" customHeight="1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</sheetData>
  <mergeCells count="5">
    <mergeCell ref="B23:K23"/>
    <mergeCell ref="B25:K25"/>
    <mergeCell ref="B26:K26"/>
    <mergeCell ref="B27:K27"/>
    <mergeCell ref="B29:K29"/>
  </mergeCells>
  <hyperlinks>
    <hyperlink ref="A1" r:id="rId1" location="gid=2113230748" xr:uid="{00000000-0004-0000-0200-000000000000}"/>
  </hyperlinks>
  <printOptions horizontalCentered="1"/>
  <pageMargins left="0.7" right="0.7" top="0.75" bottom="0.75" header="0" footer="0"/>
  <pageSetup scale="82" fitToHeight="0" pageOrder="overThenDown" orientation="landscape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 Project Management</vt:lpstr>
      <vt:lpstr>Setup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Jane Ann Manguray</cp:lastModifiedBy>
  <dcterms:modified xsi:type="dcterms:W3CDTF">2023-10-16T11:28:56Z</dcterms:modified>
</cp:coreProperties>
</file>